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5DF5D4AC-FE56-4CD4-9B3F-E18CACE5BB1A}" xr6:coauthVersionLast="47" xr6:coauthVersionMax="47" xr10:uidLastSave="{00000000-0000-0000-0000-000000000000}"/>
  <bookViews>
    <workbookView xWindow="-120" yWindow="-120" windowWidth="20640" windowHeight="11160" xr2:uid="{00000000-000D-0000-FFFF-FFFF00000000}"/>
  </bookViews>
  <sheets>
    <sheet name="Precos" sheetId="1" r:id="rId1"/>
    <sheet name="vendas" sheetId="5" r:id="rId2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5" i="1" l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2" i="1"/>
  <c r="J223" i="1"/>
  <c r="J224" i="1"/>
  <c r="J225" i="1"/>
  <c r="J226" i="1"/>
  <c r="J227" i="1"/>
  <c r="J228" i="1"/>
  <c r="J229" i="1"/>
  <c r="J230" i="1"/>
  <c r="J231" i="1"/>
  <c r="J232" i="1"/>
  <c r="J3" i="1"/>
  <c r="J4" i="1"/>
  <c r="J5" i="1"/>
  <c r="J6" i="1"/>
  <c r="J7" i="1"/>
  <c r="J8" i="1"/>
  <c r="J9" i="1"/>
  <c r="J10" i="1"/>
  <c r="J11" i="1"/>
  <c r="J12" i="1"/>
  <c r="J13" i="1"/>
  <c r="J14" i="1"/>
  <c r="H232" i="1"/>
  <c r="I232" i="1"/>
  <c r="E232" i="1"/>
  <c r="F232" i="1" s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2" i="1"/>
  <c r="F223" i="1"/>
  <c r="F224" i="1"/>
  <c r="F225" i="1"/>
  <c r="F226" i="1"/>
  <c r="F227" i="1"/>
  <c r="F228" i="1"/>
  <c r="F229" i="1"/>
  <c r="F230" i="1"/>
  <c r="F231" i="1"/>
  <c r="F2" i="1"/>
  <c r="I2" i="1" s="1"/>
  <c r="E231" i="1"/>
  <c r="H231" i="1" s="1"/>
  <c r="E230" i="1"/>
  <c r="E229" i="1"/>
  <c r="H229" i="1" s="1"/>
  <c r="E228" i="1"/>
  <c r="E227" i="1"/>
  <c r="H227" i="1" s="1"/>
  <c r="E226" i="1"/>
  <c r="E225" i="1"/>
  <c r="H225" i="1" s="1"/>
  <c r="E224" i="1"/>
  <c r="E223" i="1"/>
  <c r="H223" i="1" s="1"/>
  <c r="E222" i="1"/>
  <c r="E221" i="1"/>
  <c r="H221" i="1" s="1"/>
  <c r="J221" i="1" s="1"/>
  <c r="E220" i="1"/>
  <c r="E219" i="1"/>
  <c r="H219" i="1" s="1"/>
  <c r="E218" i="1"/>
  <c r="E217" i="1"/>
  <c r="H217" i="1" s="1"/>
  <c r="E216" i="1"/>
  <c r="E215" i="1"/>
  <c r="H215" i="1" s="1"/>
  <c r="E214" i="1"/>
  <c r="G213" i="1"/>
  <c r="E213" i="1"/>
  <c r="H212" i="1"/>
  <c r="I212" i="1"/>
  <c r="E212" i="1"/>
  <c r="H211" i="1"/>
  <c r="I211" i="1"/>
  <c r="E211" i="1"/>
  <c r="H210" i="1"/>
  <c r="I210" i="1"/>
  <c r="E210" i="1"/>
  <c r="H209" i="1"/>
  <c r="I209" i="1"/>
  <c r="E209" i="1"/>
  <c r="H208" i="1"/>
  <c r="I208" i="1"/>
  <c r="E208" i="1"/>
  <c r="H207" i="1"/>
  <c r="J207" i="1" s="1"/>
  <c r="I207" i="1"/>
  <c r="E207" i="1"/>
  <c r="H206" i="1"/>
  <c r="I206" i="1"/>
  <c r="E206" i="1"/>
  <c r="H205" i="1"/>
  <c r="I205" i="1"/>
  <c r="E205" i="1"/>
  <c r="H204" i="1"/>
  <c r="I204" i="1"/>
  <c r="E204" i="1"/>
  <c r="H203" i="1"/>
  <c r="I203" i="1"/>
  <c r="E203" i="1"/>
  <c r="H202" i="1"/>
  <c r="I202" i="1"/>
  <c r="E202" i="1"/>
  <c r="H201" i="1"/>
  <c r="I201" i="1"/>
  <c r="E201" i="1"/>
  <c r="H200" i="1"/>
  <c r="I200" i="1"/>
  <c r="E200" i="1"/>
  <c r="H199" i="1"/>
  <c r="I199" i="1"/>
  <c r="E199" i="1"/>
  <c r="H198" i="1"/>
  <c r="I198" i="1"/>
  <c r="E198" i="1"/>
  <c r="H197" i="1"/>
  <c r="I197" i="1"/>
  <c r="E197" i="1"/>
  <c r="H196" i="1"/>
  <c r="I196" i="1"/>
  <c r="E196" i="1"/>
  <c r="H195" i="1"/>
  <c r="I195" i="1"/>
  <c r="E195" i="1"/>
  <c r="H194" i="1"/>
  <c r="I194" i="1"/>
  <c r="E194" i="1"/>
  <c r="H193" i="1"/>
  <c r="I193" i="1"/>
  <c r="E193" i="1"/>
  <c r="H192" i="1"/>
  <c r="I192" i="1"/>
  <c r="E192" i="1"/>
  <c r="H191" i="1"/>
  <c r="I191" i="1"/>
  <c r="E191" i="1"/>
  <c r="H190" i="1"/>
  <c r="I190" i="1"/>
  <c r="E190" i="1"/>
  <c r="H189" i="1"/>
  <c r="I189" i="1"/>
  <c r="E189" i="1"/>
  <c r="H188" i="1"/>
  <c r="I188" i="1"/>
  <c r="E188" i="1"/>
  <c r="H187" i="1"/>
  <c r="I187" i="1"/>
  <c r="E187" i="1"/>
  <c r="H186" i="1"/>
  <c r="I186" i="1"/>
  <c r="E186" i="1"/>
  <c r="G185" i="1"/>
  <c r="I185" i="1" s="1"/>
  <c r="E185" i="1"/>
  <c r="I184" i="1"/>
  <c r="H184" i="1"/>
  <c r="E184" i="1"/>
  <c r="I183" i="1"/>
  <c r="H183" i="1"/>
  <c r="E183" i="1"/>
  <c r="I182" i="1"/>
  <c r="H182" i="1"/>
  <c r="E182" i="1"/>
  <c r="I181" i="1"/>
  <c r="H181" i="1"/>
  <c r="E181" i="1"/>
  <c r="I180" i="1"/>
  <c r="H180" i="1"/>
  <c r="E180" i="1"/>
  <c r="I179" i="1"/>
  <c r="H179" i="1"/>
  <c r="E179" i="1"/>
  <c r="I178" i="1"/>
  <c r="H178" i="1"/>
  <c r="E178" i="1"/>
  <c r="I177" i="1"/>
  <c r="H177" i="1"/>
  <c r="E177" i="1"/>
  <c r="I176" i="1"/>
  <c r="H176" i="1"/>
  <c r="E176" i="1"/>
  <c r="I175" i="1"/>
  <c r="H175" i="1"/>
  <c r="E175" i="1"/>
  <c r="I174" i="1"/>
  <c r="H174" i="1"/>
  <c r="E174" i="1"/>
  <c r="I173" i="1"/>
  <c r="H173" i="1"/>
  <c r="E173" i="1"/>
  <c r="I172" i="1"/>
  <c r="H172" i="1"/>
  <c r="E172" i="1"/>
  <c r="I171" i="1"/>
  <c r="H171" i="1"/>
  <c r="E171" i="1"/>
  <c r="I170" i="1"/>
  <c r="H170" i="1"/>
  <c r="E170" i="1"/>
  <c r="I169" i="1"/>
  <c r="H169" i="1"/>
  <c r="E169" i="1"/>
  <c r="I168" i="1"/>
  <c r="H168" i="1"/>
  <c r="E168" i="1"/>
  <c r="I167" i="1"/>
  <c r="H167" i="1"/>
  <c r="E167" i="1"/>
  <c r="I166" i="1"/>
  <c r="H166" i="1"/>
  <c r="E166" i="1"/>
  <c r="I165" i="1"/>
  <c r="H165" i="1"/>
  <c r="E165" i="1"/>
  <c r="I164" i="1"/>
  <c r="H164" i="1"/>
  <c r="E164" i="1"/>
  <c r="I163" i="1"/>
  <c r="H163" i="1"/>
  <c r="E163" i="1"/>
  <c r="I162" i="1"/>
  <c r="H162" i="1"/>
  <c r="E162" i="1"/>
  <c r="I161" i="1"/>
  <c r="H161" i="1"/>
  <c r="E161" i="1"/>
  <c r="I160" i="1"/>
  <c r="H160" i="1"/>
  <c r="E160" i="1"/>
  <c r="I159" i="1"/>
  <c r="H159" i="1"/>
  <c r="E159" i="1"/>
  <c r="I158" i="1"/>
  <c r="H158" i="1"/>
  <c r="E158" i="1"/>
  <c r="I157" i="1"/>
  <c r="H157" i="1"/>
  <c r="E157" i="1"/>
  <c r="I156" i="1"/>
  <c r="H156" i="1"/>
  <c r="E156" i="1"/>
  <c r="I155" i="1"/>
  <c r="H155" i="1"/>
  <c r="E155" i="1"/>
  <c r="C154" i="1"/>
  <c r="E154" i="1" s="1"/>
  <c r="I154" i="1" s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I127" i="1"/>
  <c r="E127" i="1"/>
  <c r="I126" i="1"/>
  <c r="H126" i="1"/>
  <c r="E126" i="1"/>
  <c r="E125" i="1"/>
  <c r="E124" i="1"/>
  <c r="I124" i="1" s="1"/>
  <c r="I123" i="1"/>
  <c r="E123" i="1"/>
  <c r="I122" i="1"/>
  <c r="H122" i="1"/>
  <c r="E122" i="1"/>
  <c r="E121" i="1"/>
  <c r="E120" i="1"/>
  <c r="I120" i="1" s="1"/>
  <c r="I119" i="1"/>
  <c r="E119" i="1"/>
  <c r="I118" i="1"/>
  <c r="H118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H103" i="1" s="1"/>
  <c r="E102" i="1"/>
  <c r="H102" i="1" s="1"/>
  <c r="E101" i="1"/>
  <c r="H101" i="1" s="1"/>
  <c r="E100" i="1"/>
  <c r="H100" i="1" s="1"/>
  <c r="E99" i="1"/>
  <c r="H99" i="1" s="1"/>
  <c r="E98" i="1"/>
  <c r="H98" i="1" s="1"/>
  <c r="E97" i="1"/>
  <c r="H97" i="1" s="1"/>
  <c r="E96" i="1"/>
  <c r="H96" i="1" s="1"/>
  <c r="E95" i="1"/>
  <c r="H95" i="1" s="1"/>
  <c r="G94" i="1"/>
  <c r="E94" i="1"/>
  <c r="H93" i="1"/>
  <c r="I93" i="1"/>
  <c r="E93" i="1"/>
  <c r="H92" i="1"/>
  <c r="I92" i="1"/>
  <c r="E92" i="1"/>
  <c r="H91" i="1"/>
  <c r="I91" i="1"/>
  <c r="E91" i="1"/>
  <c r="H90" i="1"/>
  <c r="I90" i="1"/>
  <c r="E90" i="1"/>
  <c r="H89" i="1"/>
  <c r="I89" i="1"/>
  <c r="E89" i="1"/>
  <c r="H88" i="1"/>
  <c r="I88" i="1"/>
  <c r="E88" i="1"/>
  <c r="H87" i="1"/>
  <c r="I87" i="1"/>
  <c r="E87" i="1"/>
  <c r="H86" i="1"/>
  <c r="I86" i="1"/>
  <c r="E86" i="1"/>
  <c r="H85" i="1"/>
  <c r="I85" i="1"/>
  <c r="E85" i="1"/>
  <c r="H84" i="1"/>
  <c r="I84" i="1"/>
  <c r="E84" i="1"/>
  <c r="H83" i="1"/>
  <c r="I83" i="1"/>
  <c r="E83" i="1"/>
  <c r="H82" i="1"/>
  <c r="I82" i="1"/>
  <c r="E82" i="1"/>
  <c r="H81" i="1"/>
  <c r="I81" i="1"/>
  <c r="E81" i="1"/>
  <c r="H80" i="1"/>
  <c r="I80" i="1"/>
  <c r="E80" i="1"/>
  <c r="H79" i="1"/>
  <c r="I79" i="1"/>
  <c r="E79" i="1"/>
  <c r="H78" i="1"/>
  <c r="I78" i="1"/>
  <c r="E78" i="1"/>
  <c r="H77" i="1"/>
  <c r="I77" i="1"/>
  <c r="E77" i="1"/>
  <c r="H76" i="1"/>
  <c r="I76" i="1"/>
  <c r="E76" i="1"/>
  <c r="H75" i="1"/>
  <c r="I75" i="1"/>
  <c r="E75" i="1"/>
  <c r="H74" i="1"/>
  <c r="I74" i="1"/>
  <c r="E74" i="1"/>
  <c r="H73" i="1"/>
  <c r="I73" i="1"/>
  <c r="E73" i="1"/>
  <c r="H72" i="1"/>
  <c r="I72" i="1"/>
  <c r="E72" i="1"/>
  <c r="H71" i="1"/>
  <c r="G71" i="1"/>
  <c r="I71" i="1" s="1"/>
  <c r="E71" i="1"/>
  <c r="I70" i="1"/>
  <c r="H70" i="1"/>
  <c r="E70" i="1"/>
  <c r="I69" i="1"/>
  <c r="H69" i="1"/>
  <c r="E69" i="1"/>
  <c r="I68" i="1"/>
  <c r="H68" i="1"/>
  <c r="E68" i="1"/>
  <c r="I67" i="1"/>
  <c r="H67" i="1"/>
  <c r="E67" i="1"/>
  <c r="I66" i="1"/>
  <c r="H66" i="1"/>
  <c r="E66" i="1"/>
  <c r="I65" i="1"/>
  <c r="H65" i="1"/>
  <c r="E65" i="1"/>
  <c r="I64" i="1"/>
  <c r="H64" i="1"/>
  <c r="E64" i="1"/>
  <c r="I63" i="1"/>
  <c r="H63" i="1"/>
  <c r="E63" i="1"/>
  <c r="I62" i="1"/>
  <c r="H62" i="1"/>
  <c r="E62" i="1"/>
  <c r="I61" i="1"/>
  <c r="H61" i="1"/>
  <c r="E61" i="1"/>
  <c r="I60" i="1"/>
  <c r="H60" i="1"/>
  <c r="E60" i="1"/>
  <c r="I59" i="1"/>
  <c r="H59" i="1"/>
  <c r="E59" i="1"/>
  <c r="I58" i="1"/>
  <c r="H58" i="1"/>
  <c r="E58" i="1"/>
  <c r="I57" i="1"/>
  <c r="H57" i="1"/>
  <c r="E57" i="1"/>
  <c r="I56" i="1"/>
  <c r="H56" i="1"/>
  <c r="G56" i="1"/>
  <c r="E56" i="1"/>
  <c r="E55" i="1"/>
  <c r="I54" i="1"/>
  <c r="G54" i="1"/>
  <c r="E54" i="1"/>
  <c r="H54" i="1" s="1"/>
  <c r="I53" i="1"/>
  <c r="E53" i="1"/>
  <c r="H53" i="1" s="1"/>
  <c r="I52" i="1"/>
  <c r="E52" i="1"/>
  <c r="H52" i="1" s="1"/>
  <c r="I51" i="1"/>
  <c r="E51" i="1"/>
  <c r="H51" i="1" s="1"/>
  <c r="I50" i="1"/>
  <c r="E50" i="1"/>
  <c r="H50" i="1" s="1"/>
  <c r="I49" i="1"/>
  <c r="E49" i="1"/>
  <c r="H49" i="1" s="1"/>
  <c r="I48" i="1"/>
  <c r="E48" i="1"/>
  <c r="H48" i="1" s="1"/>
  <c r="I47" i="1"/>
  <c r="E47" i="1"/>
  <c r="H47" i="1" s="1"/>
  <c r="I46" i="1"/>
  <c r="E46" i="1"/>
  <c r="H46" i="1" s="1"/>
  <c r="I45" i="1"/>
  <c r="E45" i="1"/>
  <c r="H45" i="1" s="1"/>
  <c r="I44" i="1"/>
  <c r="E44" i="1"/>
  <c r="H44" i="1" s="1"/>
  <c r="I43" i="1"/>
  <c r="E43" i="1"/>
  <c r="H43" i="1" s="1"/>
  <c r="I42" i="1"/>
  <c r="E42" i="1"/>
  <c r="H42" i="1" s="1"/>
  <c r="I41" i="1"/>
  <c r="E41" i="1"/>
  <c r="H41" i="1" s="1"/>
  <c r="I40" i="1"/>
  <c r="E40" i="1"/>
  <c r="H40" i="1" s="1"/>
  <c r="I39" i="1"/>
  <c r="E39" i="1"/>
  <c r="H39" i="1" s="1"/>
  <c r="I38" i="1"/>
  <c r="E38" i="1"/>
  <c r="H38" i="1" s="1"/>
  <c r="I37" i="1"/>
  <c r="E37" i="1"/>
  <c r="H37" i="1" s="1"/>
  <c r="I36" i="1"/>
  <c r="E36" i="1"/>
  <c r="H36" i="1" s="1"/>
  <c r="I35" i="1"/>
  <c r="E35" i="1"/>
  <c r="H35" i="1" s="1"/>
  <c r="I34" i="1"/>
  <c r="E34" i="1"/>
  <c r="H34" i="1" s="1"/>
  <c r="I33" i="1"/>
  <c r="E33" i="1"/>
  <c r="H33" i="1" s="1"/>
  <c r="I32" i="1"/>
  <c r="E32" i="1"/>
  <c r="H32" i="1" s="1"/>
  <c r="I31" i="1"/>
  <c r="E31" i="1"/>
  <c r="H31" i="1" s="1"/>
  <c r="I30" i="1"/>
  <c r="E30" i="1"/>
  <c r="H30" i="1" s="1"/>
  <c r="I29" i="1"/>
  <c r="E29" i="1"/>
  <c r="H29" i="1" s="1"/>
  <c r="I28" i="1"/>
  <c r="E28" i="1"/>
  <c r="H28" i="1" s="1"/>
  <c r="I27" i="1"/>
  <c r="E27" i="1"/>
  <c r="H27" i="1" s="1"/>
  <c r="G26" i="1"/>
  <c r="E26" i="1"/>
  <c r="H25" i="1"/>
  <c r="I25" i="1"/>
  <c r="E25" i="1"/>
  <c r="H24" i="1"/>
  <c r="I24" i="1"/>
  <c r="E24" i="1"/>
  <c r="H23" i="1"/>
  <c r="I23" i="1"/>
  <c r="E23" i="1"/>
  <c r="H22" i="1"/>
  <c r="I22" i="1"/>
  <c r="E22" i="1"/>
  <c r="H21" i="1"/>
  <c r="I21" i="1"/>
  <c r="E21" i="1"/>
  <c r="H20" i="1"/>
  <c r="I20" i="1"/>
  <c r="E20" i="1"/>
  <c r="H19" i="1"/>
  <c r="I19" i="1"/>
  <c r="E19" i="1"/>
  <c r="H18" i="1"/>
  <c r="I18" i="1"/>
  <c r="E18" i="1"/>
  <c r="H17" i="1"/>
  <c r="I17" i="1"/>
  <c r="E17" i="1"/>
  <c r="H16" i="1"/>
  <c r="I16" i="1"/>
  <c r="E16" i="1"/>
  <c r="H15" i="1"/>
  <c r="I15" i="1"/>
  <c r="E15" i="1"/>
  <c r="H14" i="1"/>
  <c r="I14" i="1"/>
  <c r="E14" i="1"/>
  <c r="H13" i="1"/>
  <c r="I13" i="1"/>
  <c r="E13" i="1"/>
  <c r="H12" i="1"/>
  <c r="I12" i="1"/>
  <c r="E12" i="1"/>
  <c r="H11" i="1"/>
  <c r="I11" i="1"/>
  <c r="E11" i="1"/>
  <c r="H10" i="1"/>
  <c r="I10" i="1"/>
  <c r="E10" i="1"/>
  <c r="H9" i="1"/>
  <c r="I9" i="1"/>
  <c r="E9" i="1"/>
  <c r="H8" i="1"/>
  <c r="I8" i="1"/>
  <c r="E8" i="1"/>
  <c r="H7" i="1"/>
  <c r="I7" i="1"/>
  <c r="E7" i="1"/>
  <c r="H6" i="1"/>
  <c r="I6" i="1"/>
  <c r="E6" i="1"/>
  <c r="H5" i="1"/>
  <c r="I5" i="1"/>
  <c r="E5" i="1"/>
  <c r="H4" i="1"/>
  <c r="I4" i="1"/>
  <c r="E4" i="1"/>
  <c r="H3" i="1"/>
  <c r="I3" i="1"/>
  <c r="E3" i="1"/>
  <c r="H2" i="1"/>
  <c r="J2" i="1" s="1"/>
  <c r="E2" i="1"/>
  <c r="F221" i="1" l="1"/>
  <c r="H106" i="1"/>
  <c r="I106" i="1"/>
  <c r="H110" i="1"/>
  <c r="I110" i="1"/>
  <c r="I114" i="1"/>
  <c r="H114" i="1"/>
  <c r="H216" i="1"/>
  <c r="I216" i="1"/>
  <c r="H220" i="1"/>
  <c r="I220" i="1"/>
  <c r="H224" i="1"/>
  <c r="I224" i="1"/>
  <c r="H228" i="1"/>
  <c r="I228" i="1"/>
  <c r="H55" i="1"/>
  <c r="I55" i="1"/>
  <c r="I95" i="1"/>
  <c r="I97" i="1"/>
  <c r="I99" i="1"/>
  <c r="I101" i="1"/>
  <c r="I103" i="1"/>
  <c r="I107" i="1"/>
  <c r="H107" i="1"/>
  <c r="I111" i="1"/>
  <c r="H111" i="1"/>
  <c r="H115" i="1"/>
  <c r="I115" i="1"/>
  <c r="I125" i="1"/>
  <c r="H125" i="1"/>
  <c r="H104" i="1"/>
  <c r="I104" i="1"/>
  <c r="H108" i="1"/>
  <c r="I108" i="1"/>
  <c r="I112" i="1"/>
  <c r="H112" i="1"/>
  <c r="I116" i="1"/>
  <c r="H116" i="1"/>
  <c r="I121" i="1"/>
  <c r="H121" i="1"/>
  <c r="H214" i="1"/>
  <c r="I214" i="1"/>
  <c r="H218" i="1"/>
  <c r="I218" i="1"/>
  <c r="H222" i="1"/>
  <c r="I222" i="1"/>
  <c r="H226" i="1"/>
  <c r="I226" i="1"/>
  <c r="H230" i="1"/>
  <c r="I230" i="1"/>
  <c r="I26" i="1"/>
  <c r="H26" i="1"/>
  <c r="I94" i="1"/>
  <c r="H94" i="1"/>
  <c r="I96" i="1"/>
  <c r="I98" i="1"/>
  <c r="I100" i="1"/>
  <c r="I102" i="1"/>
  <c r="I105" i="1"/>
  <c r="H105" i="1"/>
  <c r="I109" i="1"/>
  <c r="H109" i="1"/>
  <c r="H113" i="1"/>
  <c r="I113" i="1"/>
  <c r="I117" i="1"/>
  <c r="H117" i="1"/>
  <c r="H128" i="1"/>
  <c r="I128" i="1"/>
  <c r="H132" i="1"/>
  <c r="I132" i="1"/>
  <c r="H136" i="1"/>
  <c r="I136" i="1"/>
  <c r="H140" i="1"/>
  <c r="I140" i="1"/>
  <c r="H144" i="1"/>
  <c r="I144" i="1"/>
  <c r="H120" i="1"/>
  <c r="H124" i="1"/>
  <c r="H154" i="1"/>
  <c r="H130" i="1"/>
  <c r="I130" i="1"/>
  <c r="H134" i="1"/>
  <c r="I134" i="1"/>
  <c r="H138" i="1"/>
  <c r="I138" i="1"/>
  <c r="H142" i="1"/>
  <c r="I142" i="1"/>
  <c r="H146" i="1"/>
  <c r="I146" i="1"/>
  <c r="H148" i="1"/>
  <c r="I148" i="1"/>
  <c r="H150" i="1"/>
  <c r="I150" i="1"/>
  <c r="H152" i="1"/>
  <c r="I152" i="1"/>
  <c r="H119" i="1"/>
  <c r="H123" i="1"/>
  <c r="H127" i="1"/>
  <c r="H129" i="1"/>
  <c r="I129" i="1"/>
  <c r="H131" i="1"/>
  <c r="I131" i="1"/>
  <c r="H133" i="1"/>
  <c r="I133" i="1"/>
  <c r="H135" i="1"/>
  <c r="I135" i="1"/>
  <c r="H137" i="1"/>
  <c r="I137" i="1"/>
  <c r="H139" i="1"/>
  <c r="I139" i="1"/>
  <c r="H141" i="1"/>
  <c r="I141" i="1"/>
  <c r="H143" i="1"/>
  <c r="I143" i="1"/>
  <c r="H145" i="1"/>
  <c r="I145" i="1"/>
  <c r="H147" i="1"/>
  <c r="I147" i="1"/>
  <c r="H149" i="1"/>
  <c r="I149" i="1"/>
  <c r="H151" i="1"/>
  <c r="I151" i="1"/>
  <c r="H153" i="1"/>
  <c r="I153" i="1"/>
  <c r="H185" i="1"/>
  <c r="I213" i="1"/>
  <c r="H213" i="1"/>
  <c r="I215" i="1"/>
  <c r="I217" i="1"/>
  <c r="I219" i="1"/>
  <c r="I221" i="1"/>
  <c r="I223" i="1"/>
  <c r="I225" i="1"/>
  <c r="I227" i="1"/>
  <c r="I229" i="1"/>
  <c r="I231" i="1"/>
</calcChain>
</file>

<file path=xl/sharedStrings.xml><?xml version="1.0" encoding="utf-8"?>
<sst xmlns="http://schemas.openxmlformats.org/spreadsheetml/2006/main" count="243" uniqueCount="242">
  <si>
    <t>Produto</t>
  </si>
  <si>
    <t>Preço compra</t>
  </si>
  <si>
    <t>Valor unitario</t>
  </si>
  <si>
    <t>Preço venda</t>
  </si>
  <si>
    <t>Lucro dinheiro</t>
  </si>
  <si>
    <t>Lucro cartão</t>
  </si>
  <si>
    <t>absorbente lady soft noite</t>
  </si>
  <si>
    <t>absorbente sym</t>
  </si>
  <si>
    <t>Açucar barra 1kg</t>
  </si>
  <si>
    <t>acucar guarani kg</t>
  </si>
  <si>
    <t>açúcar santa Isabel 1kg</t>
  </si>
  <si>
    <t>açúcar união</t>
  </si>
  <si>
    <t>adocyl 80ml</t>
  </si>
  <si>
    <t>agua claríssima 510ml</t>
  </si>
  <si>
    <t>agua sanitaria daclor</t>
  </si>
  <si>
    <t>agua sanitaria suprema 1L</t>
  </si>
  <si>
    <t>agua sanitaria Ypê 1L</t>
  </si>
  <si>
    <t>álcool balcão 70% 500ml</t>
  </si>
  <si>
    <t>álcool tupi 70%</t>
  </si>
  <si>
    <t>Alho picado garlic pote</t>
  </si>
  <si>
    <t>amaciante downy 500m</t>
  </si>
  <si>
    <t>atum s ol Gcos</t>
  </si>
  <si>
    <t>atún P 120g</t>
  </si>
  <si>
    <t>atún R GCosta 130g</t>
  </si>
  <si>
    <t>bala arcor posh</t>
  </si>
  <si>
    <t>bala arcor sete belo</t>
  </si>
  <si>
    <t>bala Dori gomet</t>
  </si>
  <si>
    <t>Bala dori Lua cheia</t>
  </si>
  <si>
    <t>bala fini</t>
  </si>
  <si>
    <t>Baton garoto</t>
  </si>
  <si>
    <t>Bebida Lactea Italac</t>
  </si>
  <si>
    <t>Bebida Lactea Marajuara</t>
  </si>
  <si>
    <t>bebida lactea vigor</t>
  </si>
  <si>
    <t>biscoito Adria 130g</t>
  </si>
  <si>
    <t>Biscoito Adria craker folhata 200g</t>
  </si>
  <si>
    <t>Biscoito Bitarela A&amp;S</t>
  </si>
  <si>
    <t>Biscoito Marilan</t>
  </si>
  <si>
    <t>biscoito passatempo 130g</t>
  </si>
  <si>
    <t>Biscoito recheado Bauduco</t>
  </si>
  <si>
    <t>bisnaga kim</t>
  </si>
  <si>
    <t>Bolacha doce nordestina</t>
  </si>
  <si>
    <t>bolacha maria panco 400g</t>
  </si>
  <si>
    <t>Bombril assolan pacote</t>
  </si>
  <si>
    <t>café Brasil pouch 500g</t>
  </si>
  <si>
    <t>café caiçara 250g</t>
  </si>
  <si>
    <t>cafe canecao 500g</t>
  </si>
  <si>
    <t>cafe fazenda mineira 500g</t>
  </si>
  <si>
    <t>café Maratá 250g</t>
  </si>
  <si>
    <t>café Maratá 500g</t>
  </si>
  <si>
    <t>Café pele 250g</t>
  </si>
  <si>
    <t>café pele 500g</t>
  </si>
  <si>
    <t>Caldo sazon caixinha</t>
  </si>
  <si>
    <t>candida súper 1L</t>
  </si>
  <si>
    <t>CAROLINA peq 170g coco</t>
  </si>
  <si>
    <t>cerveja imperio</t>
  </si>
  <si>
    <t>Cerveja Itaipava 350ml</t>
  </si>
  <si>
    <t>cerveja Skol</t>
  </si>
  <si>
    <t>Chiclete Buzzy</t>
  </si>
  <si>
    <t>chocolate arcor leite</t>
  </si>
  <si>
    <t>chocolate garoto</t>
  </si>
  <si>
    <t>chocolate happy end</t>
  </si>
  <si>
    <t>chocolate talisman 50g</t>
  </si>
  <si>
    <t>chokynho</t>
  </si>
  <si>
    <t>Coca cola 2L</t>
  </si>
  <si>
    <t>coca cola lata 220ml</t>
  </si>
  <si>
    <t>coca cola pet 200ml</t>
  </si>
  <si>
    <t>coco ralado vitacoco</t>
  </si>
  <si>
    <t>creme de leite glória 200g</t>
  </si>
  <si>
    <t>creme de leite italac</t>
  </si>
  <si>
    <t>creme de leite Nestlé 200g</t>
  </si>
  <si>
    <t>creme de leite parmalat 200g</t>
  </si>
  <si>
    <t>creme de leite Piracanjuba</t>
  </si>
  <si>
    <t xml:space="preserve">Creme dental sorriso </t>
  </si>
  <si>
    <t>desinfectante pinho bril 500ml</t>
  </si>
  <si>
    <t>desinfectante pinho sol</t>
  </si>
  <si>
    <t>detergente em pó assim 500g</t>
  </si>
  <si>
    <t>detergente em pó assim 900g</t>
  </si>
  <si>
    <t>Detergente Limpol</t>
  </si>
  <si>
    <t>detergente líquido suprema 500ml</t>
  </si>
  <si>
    <t>detergente Minuano 500ml</t>
  </si>
  <si>
    <t>detergente ype 500ml</t>
  </si>
  <si>
    <t>doce de leite</t>
  </si>
  <si>
    <t>doce de leite Ensa c/amexa 680g</t>
  </si>
  <si>
    <t>Ervilha fugini pouch</t>
  </si>
  <si>
    <t>farinha de trigo Nita 1kg</t>
  </si>
  <si>
    <t>farinha de trigo primor 1kg</t>
  </si>
  <si>
    <t>farinha de trigo sol</t>
  </si>
  <si>
    <t>farinha de trigo tia Ofelia</t>
  </si>
  <si>
    <t>Feijao de corda</t>
  </si>
  <si>
    <t>fermento Dona benta 100g</t>
  </si>
  <si>
    <t>fermento Nita</t>
  </si>
  <si>
    <t>Flocão bonomilho</t>
  </si>
  <si>
    <t>Flocos de milho Marata</t>
  </si>
  <si>
    <t>Flocos Vitamilho 500g</t>
  </si>
  <si>
    <t>folha de alumínio</t>
  </si>
  <si>
    <t>Fosforos fiatluz</t>
  </si>
  <si>
    <t>fralda pompom class</t>
  </si>
  <si>
    <t>fubá mimoso</t>
  </si>
  <si>
    <t>goiabada 300g</t>
  </si>
  <si>
    <t>guardanapo santepel</t>
  </si>
  <si>
    <t>halls menta</t>
  </si>
  <si>
    <t>Isqueiro Bic grande</t>
  </si>
  <si>
    <t>Lanchicnho Sabial 150g</t>
  </si>
  <si>
    <t>Leite condensada Italac semi</t>
  </si>
  <si>
    <t>leite condensado Mococa 395g</t>
  </si>
  <si>
    <t>Leite condensado otro</t>
  </si>
  <si>
    <t>leite condensado triângulo 395g</t>
  </si>
  <si>
    <t>leite de coco mais 200ml</t>
  </si>
  <si>
    <t>Leite em pó Italac 400g</t>
  </si>
  <si>
    <t>Leite em pó Piracanjuba 400g</t>
  </si>
  <si>
    <t>leite Hércules 1L</t>
  </si>
  <si>
    <t>Leite liquido Italac 1L</t>
  </si>
  <si>
    <t>leite líquido quata</t>
  </si>
  <si>
    <t>leite parmalat 1lt</t>
  </si>
  <si>
    <t>Leite Shefa integral</t>
  </si>
  <si>
    <t>m&amp;m disqueti</t>
  </si>
  <si>
    <t>m&amp;m disqueti 40g</t>
  </si>
  <si>
    <t>macarrão Adria 500g</t>
  </si>
  <si>
    <t>macarrão Flor de lis</t>
  </si>
  <si>
    <t>macarrão petybom</t>
  </si>
  <si>
    <t>macarrao renata esp 500g</t>
  </si>
  <si>
    <t>Macarrão vitarella</t>
  </si>
  <si>
    <t>maionese quero 200g</t>
  </si>
  <si>
    <t>maizena</t>
  </si>
  <si>
    <t>Maizena Kumiko</t>
  </si>
  <si>
    <t>Manteiga pastosa fazenda 200g</t>
  </si>
  <si>
    <t>Mantiga de garrafa SABIA 200g</t>
  </si>
  <si>
    <t>Margarina claybom 500g</t>
  </si>
  <si>
    <t>Margarina delicia 250g</t>
  </si>
  <si>
    <t>Margarina doriana 250g</t>
  </si>
  <si>
    <t>Margarina doriana 500g</t>
  </si>
  <si>
    <t>margarina Qualy 250g</t>
  </si>
  <si>
    <t>margarina Qualy 500g</t>
  </si>
  <si>
    <t>Margarina vigor 500g</t>
  </si>
  <si>
    <t>massa de bolo Dona benta</t>
  </si>
  <si>
    <t>massa de bolo fleisch</t>
  </si>
  <si>
    <t>Mentos</t>
  </si>
  <si>
    <t>mentos pequeno</t>
  </si>
  <si>
    <t>milho verde fugini</t>
  </si>
  <si>
    <t>miojo adria</t>
  </si>
  <si>
    <t>Miojo Maratá</t>
  </si>
  <si>
    <t>Miojo Panco</t>
  </si>
  <si>
    <t>miojo Renata</t>
  </si>
  <si>
    <t>molho de tomate fugini</t>
  </si>
  <si>
    <t>molho de tomate Mamma 340g</t>
  </si>
  <si>
    <t>molho de tomate quero 340g</t>
  </si>
  <si>
    <t>molho predilecta tradicional</t>
  </si>
  <si>
    <t>Molho Tarantela 340g</t>
  </si>
  <si>
    <t>Molho Tomate Etti 300g</t>
  </si>
  <si>
    <t>mortadela de frango</t>
  </si>
  <si>
    <t>mortadela Seara gol defumada</t>
  </si>
  <si>
    <t>Mortadela tradicional Perdigão kg</t>
  </si>
  <si>
    <t>Oleo de pequi Insinuante 140ml</t>
  </si>
  <si>
    <t>óleo de soja soya</t>
  </si>
  <si>
    <t>óleo soja Coamo 900ml</t>
  </si>
  <si>
    <t>Oleo soja concordia 900ml</t>
  </si>
  <si>
    <t>Ovo 30 unidades</t>
  </si>
  <si>
    <t>ovo branco gde 20und</t>
  </si>
  <si>
    <t>ovo branco gde 5dz</t>
  </si>
  <si>
    <t>ovos 20 unidades</t>
  </si>
  <si>
    <t>Paes doces</t>
  </si>
  <si>
    <t>Pao frances</t>
  </si>
  <si>
    <t>Papel higienico personal pac de 4</t>
  </si>
  <si>
    <t>papel higienico sublime fs</t>
  </si>
  <si>
    <t>papel toalha yuri</t>
  </si>
  <si>
    <t>pe de moleque colonia 120g</t>
  </si>
  <si>
    <t>pequi caroco 300 liq aroma minas</t>
  </si>
  <si>
    <t>picoca gravata</t>
  </si>
  <si>
    <t>Pimenta c/ pequi 150g</t>
  </si>
  <si>
    <t>pipoca doce cristal 80g</t>
  </si>
  <si>
    <t>pipoca doce magitlec</t>
  </si>
  <si>
    <t>pirulito maxxi riclan</t>
  </si>
  <si>
    <t>pirulito pop kiss</t>
  </si>
  <si>
    <t>pururuca magikitos</t>
  </si>
  <si>
    <t>Queijo musarela Piracanjuba kg</t>
  </si>
  <si>
    <t>queijo Mussarela cenagio</t>
  </si>
  <si>
    <t>queijo ralado Mococa 40g</t>
  </si>
  <si>
    <t>queijo ralado parmejao mococa</t>
  </si>
  <si>
    <t>rapadura Estr. Batida 240g</t>
  </si>
  <si>
    <t>rapadura mineira 550g rot verde</t>
  </si>
  <si>
    <t>Rapadura temperada 400g</t>
  </si>
  <si>
    <t>refrigerante Dolly 2L</t>
  </si>
  <si>
    <t>Refrigerante Kuat 2L</t>
  </si>
  <si>
    <t>refrigerante Pepsi cola 2l</t>
  </si>
  <si>
    <t>refrigerante sukita 2lt</t>
  </si>
  <si>
    <t>refrigerante tiss laranja 2L</t>
  </si>
  <si>
    <t>Refrigerante Tiss Tubaina 2L</t>
  </si>
  <si>
    <t>Refrigerante Tiss Tubaina 350ml</t>
  </si>
  <si>
    <t>Remov de esmalte veira alta 90ml</t>
  </si>
  <si>
    <t>removedor de esmalte beira alta 90ml</t>
  </si>
  <si>
    <t>requeijão Nestlé 200g</t>
  </si>
  <si>
    <t>Sabão em pedra Minuano</t>
  </si>
  <si>
    <t>sabão em pedra Ypê</t>
  </si>
  <si>
    <t>Sabão em pó Tixan 500g</t>
  </si>
  <si>
    <t>sabão em pó tixan 800g</t>
  </si>
  <si>
    <t>sabonete Albany 85g</t>
  </si>
  <si>
    <t>sabonete Francis suave</t>
  </si>
  <si>
    <t>sabonete lux 85g</t>
  </si>
  <si>
    <t>sabonete palmolive 85g</t>
  </si>
  <si>
    <t>sacola branca</t>
  </si>
  <si>
    <t>Sal lebre 1kg</t>
  </si>
  <si>
    <t xml:space="preserve">salgadinho cebola amavita 45g </t>
  </si>
  <si>
    <t>salgadinho fandango</t>
  </si>
  <si>
    <t>salgadinho fofura</t>
  </si>
  <si>
    <t>Salgadinho yokitos</t>
  </si>
  <si>
    <t>sardina pescador 83g oleo</t>
  </si>
  <si>
    <t>Sardinha 88 oleo</t>
  </si>
  <si>
    <t>Sardinha 88 ralada</t>
  </si>
  <si>
    <t>sardinha coqueiro</t>
  </si>
  <si>
    <t>sardinha palmeira 84g oleo</t>
  </si>
  <si>
    <t>sardinha Rob cruseau  oleo 84g</t>
  </si>
  <si>
    <t>sazón vermelho 60g</t>
  </si>
  <si>
    <t>suco caixinha camp 200ml</t>
  </si>
  <si>
    <t>suco de caixa da fruta 1L</t>
  </si>
  <si>
    <t>Suco em pó Maratá</t>
  </si>
  <si>
    <t>suco em pó MID 20g</t>
  </si>
  <si>
    <t>suco Maratá nectar 1L</t>
  </si>
  <si>
    <t>suco Nectar camp 1lt</t>
  </si>
  <si>
    <t>tang individual</t>
  </si>
  <si>
    <t>Tang laranja caixa</t>
  </si>
  <si>
    <t>tapioca Brazil 500g</t>
  </si>
  <si>
    <t>tapioca Daí 500g</t>
  </si>
  <si>
    <t>Toddynho 200ml</t>
  </si>
  <si>
    <t>vela n5 karan</t>
  </si>
  <si>
    <t>Vinagre vitalia</t>
  </si>
  <si>
    <t>vinagre Vitalia 750ml</t>
  </si>
  <si>
    <t>ovo solto</t>
  </si>
  <si>
    <t>agua de galao sem galao</t>
  </si>
  <si>
    <t>agua de galao com galao</t>
  </si>
  <si>
    <t>vassoura</t>
  </si>
  <si>
    <t>rodo 40cm</t>
  </si>
  <si>
    <t>salgadinho lobits 45g</t>
  </si>
  <si>
    <t>sabão em pó Ypê 800g</t>
  </si>
  <si>
    <t>detergente em pó ares 1kg</t>
  </si>
  <si>
    <t>detergente em pó urca 1kg</t>
  </si>
  <si>
    <t>pão de forma</t>
  </si>
  <si>
    <t>Codigo</t>
  </si>
  <si>
    <t>Unidad</t>
  </si>
  <si>
    <t>48,80</t>
  </si>
  <si>
    <t>Taxa cartão 3,44%</t>
  </si>
  <si>
    <t>butijão de gaz</t>
  </si>
  <si>
    <t>Porcentajem de lucro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</si>
</sst>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rgb="FF000000"/>
      <name val="Arial"/>
      <scheme val="minor"/>
    </font>
    <font>
      <b/>
      <sz val="10"/>
      <color theme="1"/>
      <name val="Arial"/>
      <scheme val="minor"/>
    </font>
    <font>
      <sz val="10"/>
      <color theme="1"/>
      <name val="Arial"/>
      <scheme val="minor"/>
    </font>
    <font>
      <sz val="10"/>
      <color rgb="FF000000"/>
      <name val="Arial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CE5CD"/>
        <bgColor rgb="FFFCE5CD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1" fillId="2" borderId="0" xfId="0" applyFont="1" applyFill="1" applyAlignment="1">
      <alignment vertical="center" wrapText="1"/>
    </xf>
    <xf numFmtId="4" fontId="1" fillId="0" borderId="0" xfId="0" applyNumberFormat="1" applyFont="1" applyAlignment="1">
      <alignment vertical="center" wrapText="1"/>
    </xf>
    <xf numFmtId="0" fontId="2" fillId="0" borderId="0" xfId="0" applyFont="1" applyAlignment="1">
      <alignment vertical="center" wrapText="1"/>
    </xf>
    <xf numFmtId="4" fontId="2" fillId="0" borderId="0" xfId="0" applyNumberFormat="1" applyFont="1"/>
    <xf numFmtId="4" fontId="2" fillId="2" borderId="0" xfId="0" applyNumberFormat="1" applyFont="1" applyFill="1"/>
    <xf numFmtId="0" fontId="2" fillId="0" borderId="0" xfId="0" applyFont="1"/>
    <xf numFmtId="0" fontId="0" fillId="0" borderId="0" xfId="0"/>
    <xf numFmtId="10" fontId="0" fillId="0" borderId="0" xfId="1" applyNumberFormat="1" applyFont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outlinePr summaryBelow="0" summaryRight="0"/>
  </sheetPr>
  <dimension ref="A1:Z992"/>
  <sheetViews>
    <sheetView tabSelected="1" workbookViewId="0">
      <pane xSplit="2" ySplit="1" topLeftCell="C11" activePane="bottomRight" state="frozen"/>
      <selection pane="topRight" activeCell="B1" sqref="B1"/>
      <selection pane="bottomLeft" activeCell="A2" sqref="A2"/>
      <selection pane="bottomRight" activeCell="A135" sqref="A135:XFD135"/>
    </sheetView>
  </sheetViews>
  <sheetFormatPr defaultColWidth="12.5703125" defaultRowHeight="15.75" customHeight="1" x14ac:dyDescent="0.2"/>
  <cols>
    <col min="1" max="1" width="9.28515625" style="9" customWidth="1"/>
    <col min="2" max="2" width="30.28515625" style="9" customWidth="1"/>
    <col min="3" max="4" width="12.5703125" style="9"/>
    <col min="5" max="5" width="13" style="9" customWidth="1"/>
    <col min="6" max="6" width="10.140625" style="9" customWidth="1"/>
    <col min="7" max="7" width="10.85546875" style="9" customWidth="1"/>
    <col min="8" max="8" width="12.5703125" style="9"/>
    <col min="9" max="9" width="11.140625" style="9" customWidth="1"/>
    <col min="10" max="16384" width="12.5703125" style="9"/>
  </cols>
  <sheetData>
    <row r="1" spans="1:26" ht="38.25" x14ac:dyDescent="0.2">
      <c r="A1" s="2" t="s">
        <v>236</v>
      </c>
      <c r="B1" s="1" t="s">
        <v>0</v>
      </c>
      <c r="C1" s="1" t="s">
        <v>237</v>
      </c>
      <c r="D1" s="1" t="s">
        <v>1</v>
      </c>
      <c r="E1" s="1" t="s">
        <v>2</v>
      </c>
      <c r="F1" s="2" t="s">
        <v>239</v>
      </c>
      <c r="G1" s="3" t="s">
        <v>3</v>
      </c>
      <c r="H1" s="1" t="s">
        <v>4</v>
      </c>
      <c r="I1" s="4" t="s">
        <v>5</v>
      </c>
      <c r="J1" s="5" t="s">
        <v>241</v>
      </c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ht="12.75" x14ac:dyDescent="0.2">
      <c r="A2" s="9">
        <v>1</v>
      </c>
      <c r="B2" s="8" t="s">
        <v>161</v>
      </c>
      <c r="C2" s="8">
        <v>1</v>
      </c>
      <c r="D2" s="6">
        <v>0.33</v>
      </c>
      <c r="E2" s="6">
        <f t="shared" ref="E2:E65" si="0">D2/C2</f>
        <v>0.33</v>
      </c>
      <c r="F2" s="6">
        <f>E2+(E2*3.44%)</f>
        <v>0.34135199999999999</v>
      </c>
      <c r="G2" s="7">
        <v>0.45</v>
      </c>
      <c r="H2" s="6">
        <f>G2-E2</f>
        <v>0.12</v>
      </c>
      <c r="I2" s="6">
        <f>G2-F2</f>
        <v>0.10864800000000002</v>
      </c>
      <c r="J2" s="10">
        <f>H2/E2</f>
        <v>0.36363636363636359</v>
      </c>
    </row>
    <row r="3" spans="1:26" ht="12.75" x14ac:dyDescent="0.2">
      <c r="A3" s="9">
        <v>2</v>
      </c>
      <c r="B3" s="8" t="s">
        <v>160</v>
      </c>
      <c r="C3" s="8">
        <v>1</v>
      </c>
      <c r="D3" s="6">
        <v>0.4</v>
      </c>
      <c r="E3" s="6">
        <f t="shared" si="0"/>
        <v>0.4</v>
      </c>
      <c r="F3" s="6">
        <f t="shared" ref="F3:F66" si="1">E3+(E3*3.44%)</f>
        <v>0.41376000000000002</v>
      </c>
      <c r="G3" s="7">
        <v>0.7</v>
      </c>
      <c r="H3" s="6">
        <f t="shared" ref="H3:H66" si="2">G3-E3</f>
        <v>0.29999999999999993</v>
      </c>
      <c r="I3" s="6">
        <f t="shared" ref="I3:I66" si="3">G3-F3</f>
        <v>0.28623999999999994</v>
      </c>
      <c r="J3" s="10">
        <f t="shared" ref="J3:J66" si="4">H3/E3</f>
        <v>0.74999999999999978</v>
      </c>
    </row>
    <row r="4" spans="1:26" ht="12.75" x14ac:dyDescent="0.2">
      <c r="A4" s="9">
        <v>3</v>
      </c>
      <c r="B4" s="8" t="s">
        <v>175</v>
      </c>
      <c r="C4" s="8">
        <v>1</v>
      </c>
      <c r="D4" s="6">
        <v>33.9</v>
      </c>
      <c r="E4" s="6">
        <f t="shared" si="0"/>
        <v>33.9</v>
      </c>
      <c r="F4" s="6">
        <f t="shared" si="1"/>
        <v>35.066159999999996</v>
      </c>
      <c r="G4" s="7">
        <v>40</v>
      </c>
      <c r="H4" s="6">
        <f t="shared" si="2"/>
        <v>6.1000000000000014</v>
      </c>
      <c r="I4" s="6">
        <f t="shared" si="3"/>
        <v>4.9338400000000036</v>
      </c>
      <c r="J4" s="10">
        <f t="shared" si="4"/>
        <v>0.17994100294985255</v>
      </c>
    </row>
    <row r="5" spans="1:26" ht="12.75" x14ac:dyDescent="0.2">
      <c r="A5" s="9">
        <v>4</v>
      </c>
      <c r="B5" s="8" t="s">
        <v>150</v>
      </c>
      <c r="C5" s="8">
        <v>1</v>
      </c>
      <c r="D5" s="6">
        <v>15.3</v>
      </c>
      <c r="E5" s="6">
        <f t="shared" si="0"/>
        <v>15.3</v>
      </c>
      <c r="F5" s="6">
        <f t="shared" si="1"/>
        <v>15.826320000000001</v>
      </c>
      <c r="G5" s="7">
        <v>25</v>
      </c>
      <c r="H5" s="6">
        <f t="shared" si="2"/>
        <v>9.6999999999999993</v>
      </c>
      <c r="I5" s="6">
        <f t="shared" si="3"/>
        <v>9.1736799999999992</v>
      </c>
      <c r="J5" s="10">
        <f t="shared" si="4"/>
        <v>0.63398692810457513</v>
      </c>
    </row>
    <row r="6" spans="1:26" ht="12.75" x14ac:dyDescent="0.2">
      <c r="A6" s="9">
        <v>5</v>
      </c>
      <c r="B6" s="8" t="s">
        <v>7</v>
      </c>
      <c r="C6" s="8">
        <v>1</v>
      </c>
      <c r="D6" s="6">
        <v>2.99</v>
      </c>
      <c r="E6" s="6">
        <f t="shared" si="0"/>
        <v>2.99</v>
      </c>
      <c r="F6" s="6">
        <f t="shared" si="1"/>
        <v>3.0928560000000003</v>
      </c>
      <c r="G6" s="7">
        <v>3.6</v>
      </c>
      <c r="H6" s="6">
        <f t="shared" si="2"/>
        <v>0.60999999999999988</v>
      </c>
      <c r="I6" s="6">
        <f t="shared" si="3"/>
        <v>0.50714399999999982</v>
      </c>
      <c r="J6" s="10">
        <f t="shared" si="4"/>
        <v>0.20401337792642135</v>
      </c>
    </row>
    <row r="7" spans="1:26" ht="12.75" x14ac:dyDescent="0.2">
      <c r="A7" s="9">
        <v>6</v>
      </c>
      <c r="B7" s="8" t="s">
        <v>8</v>
      </c>
      <c r="C7" s="8">
        <v>1</v>
      </c>
      <c r="D7" s="6">
        <v>3.85</v>
      </c>
      <c r="E7" s="6">
        <f t="shared" si="0"/>
        <v>3.85</v>
      </c>
      <c r="F7" s="6">
        <f t="shared" si="1"/>
        <v>3.98244</v>
      </c>
      <c r="G7" s="7">
        <v>4.9000000000000004</v>
      </c>
      <c r="H7" s="6">
        <f t="shared" si="2"/>
        <v>1.0500000000000003</v>
      </c>
      <c r="I7" s="6">
        <f t="shared" si="3"/>
        <v>0.91756000000000038</v>
      </c>
      <c r="J7" s="10">
        <f t="shared" si="4"/>
        <v>0.27272727272727276</v>
      </c>
    </row>
    <row r="8" spans="1:26" ht="12.75" x14ac:dyDescent="0.2">
      <c r="A8" s="9">
        <v>7</v>
      </c>
      <c r="B8" s="8" t="s">
        <v>9</v>
      </c>
      <c r="C8" s="8">
        <v>10</v>
      </c>
      <c r="D8" s="6">
        <v>35.9</v>
      </c>
      <c r="E8" s="6">
        <f t="shared" si="0"/>
        <v>3.59</v>
      </c>
      <c r="F8" s="6">
        <f t="shared" si="1"/>
        <v>3.7134959999999997</v>
      </c>
      <c r="G8" s="7">
        <v>5</v>
      </c>
      <c r="H8" s="6">
        <f t="shared" si="2"/>
        <v>1.4100000000000001</v>
      </c>
      <c r="I8" s="6">
        <f t="shared" si="3"/>
        <v>1.2865040000000003</v>
      </c>
      <c r="J8" s="10">
        <f t="shared" si="4"/>
        <v>0.39275766016713098</v>
      </c>
    </row>
    <row r="9" spans="1:26" ht="12.75" x14ac:dyDescent="0.2">
      <c r="A9" s="9">
        <v>8</v>
      </c>
      <c r="B9" s="8" t="s">
        <v>10</v>
      </c>
      <c r="C9" s="8">
        <v>1</v>
      </c>
      <c r="D9" s="6">
        <v>3.85</v>
      </c>
      <c r="E9" s="6">
        <f t="shared" si="0"/>
        <v>3.85</v>
      </c>
      <c r="F9" s="6">
        <f t="shared" si="1"/>
        <v>3.98244</v>
      </c>
      <c r="G9" s="7">
        <v>4.9000000000000004</v>
      </c>
      <c r="H9" s="6">
        <f t="shared" si="2"/>
        <v>1.0500000000000003</v>
      </c>
      <c r="I9" s="6">
        <f t="shared" si="3"/>
        <v>0.91756000000000038</v>
      </c>
      <c r="J9" s="10">
        <f t="shared" si="4"/>
        <v>0.27272727272727276</v>
      </c>
    </row>
    <row r="10" spans="1:26" ht="12.75" x14ac:dyDescent="0.2">
      <c r="A10" s="9">
        <v>9</v>
      </c>
      <c r="B10" s="8" t="s">
        <v>11</v>
      </c>
      <c r="C10" s="8">
        <v>1</v>
      </c>
      <c r="D10" s="6">
        <v>3.69</v>
      </c>
      <c r="E10" s="6">
        <f t="shared" si="0"/>
        <v>3.69</v>
      </c>
      <c r="F10" s="6">
        <f t="shared" si="1"/>
        <v>3.8169360000000001</v>
      </c>
      <c r="G10" s="7">
        <v>5</v>
      </c>
      <c r="H10" s="6">
        <f t="shared" si="2"/>
        <v>1.31</v>
      </c>
      <c r="I10" s="6">
        <f t="shared" si="3"/>
        <v>1.1830639999999999</v>
      </c>
      <c r="J10" s="10">
        <f t="shared" si="4"/>
        <v>0.3550135501355014</v>
      </c>
    </row>
    <row r="11" spans="1:26" ht="12.75" x14ac:dyDescent="0.2">
      <c r="A11" s="9">
        <v>10</v>
      </c>
      <c r="B11" s="8" t="s">
        <v>12</v>
      </c>
      <c r="C11" s="8">
        <v>1</v>
      </c>
      <c r="D11" s="6">
        <v>6.05</v>
      </c>
      <c r="E11" s="6">
        <f t="shared" si="0"/>
        <v>6.05</v>
      </c>
      <c r="F11" s="6">
        <f t="shared" si="1"/>
        <v>6.2581199999999999</v>
      </c>
      <c r="G11" s="7">
        <v>7</v>
      </c>
      <c r="H11" s="6">
        <f t="shared" si="2"/>
        <v>0.95000000000000018</v>
      </c>
      <c r="I11" s="6">
        <f t="shared" si="3"/>
        <v>0.74188000000000009</v>
      </c>
      <c r="J11" s="10">
        <f t="shared" si="4"/>
        <v>0.15702479338842978</v>
      </c>
    </row>
    <row r="12" spans="1:26" ht="12.75" x14ac:dyDescent="0.2">
      <c r="A12" s="9">
        <v>11</v>
      </c>
      <c r="B12" s="8" t="s">
        <v>13</v>
      </c>
      <c r="C12" s="8">
        <v>12</v>
      </c>
      <c r="D12" s="6">
        <v>6.6</v>
      </c>
      <c r="E12" s="6">
        <f t="shared" si="0"/>
        <v>0.54999999999999993</v>
      </c>
      <c r="F12" s="6">
        <f t="shared" si="1"/>
        <v>0.56891999999999998</v>
      </c>
      <c r="G12" s="7">
        <v>1.8</v>
      </c>
      <c r="H12" s="6">
        <f t="shared" si="2"/>
        <v>1.25</v>
      </c>
      <c r="I12" s="6">
        <f t="shared" si="3"/>
        <v>1.23108</v>
      </c>
      <c r="J12" s="10">
        <f t="shared" si="4"/>
        <v>2.2727272727272729</v>
      </c>
    </row>
    <row r="13" spans="1:26" ht="12.75" x14ac:dyDescent="0.2">
      <c r="A13" s="9">
        <v>12</v>
      </c>
      <c r="B13" s="8" t="s">
        <v>14</v>
      </c>
      <c r="C13" s="8">
        <v>1</v>
      </c>
      <c r="D13" s="6">
        <v>2.2000000000000002</v>
      </c>
      <c r="E13" s="6">
        <f t="shared" si="0"/>
        <v>2.2000000000000002</v>
      </c>
      <c r="F13" s="6">
        <f t="shared" si="1"/>
        <v>2.2756800000000004</v>
      </c>
      <c r="G13" s="7">
        <v>4</v>
      </c>
      <c r="H13" s="6">
        <f t="shared" si="2"/>
        <v>1.7999999999999998</v>
      </c>
      <c r="I13" s="6">
        <f t="shared" si="3"/>
        <v>1.7243199999999996</v>
      </c>
      <c r="J13" s="10">
        <f t="shared" si="4"/>
        <v>0.81818181818181801</v>
      </c>
    </row>
    <row r="14" spans="1:26" ht="12.75" x14ac:dyDescent="0.2">
      <c r="A14" s="9">
        <v>13</v>
      </c>
      <c r="B14" s="8" t="s">
        <v>15</v>
      </c>
      <c r="C14" s="8">
        <v>1</v>
      </c>
      <c r="D14" s="6">
        <v>2.15</v>
      </c>
      <c r="E14" s="6">
        <f t="shared" si="0"/>
        <v>2.15</v>
      </c>
      <c r="F14" s="6">
        <f t="shared" si="1"/>
        <v>2.2239599999999999</v>
      </c>
      <c r="G14" s="7">
        <v>3.5</v>
      </c>
      <c r="H14" s="6">
        <f t="shared" si="2"/>
        <v>1.35</v>
      </c>
      <c r="I14" s="6">
        <f t="shared" si="3"/>
        <v>1.2760400000000001</v>
      </c>
      <c r="J14" s="10">
        <f t="shared" si="4"/>
        <v>0.62790697674418616</v>
      </c>
    </row>
    <row r="15" spans="1:26" ht="12.75" x14ac:dyDescent="0.2">
      <c r="A15" s="9">
        <v>14</v>
      </c>
      <c r="B15" s="8" t="s">
        <v>16</v>
      </c>
      <c r="C15" s="8">
        <v>1</v>
      </c>
      <c r="D15" s="6">
        <v>2.68</v>
      </c>
      <c r="E15" s="6">
        <f t="shared" si="0"/>
        <v>2.68</v>
      </c>
      <c r="F15" s="6">
        <f t="shared" si="1"/>
        <v>2.772192</v>
      </c>
      <c r="G15" s="7">
        <v>4</v>
      </c>
      <c r="H15" s="6">
        <f t="shared" si="2"/>
        <v>1.3199999999999998</v>
      </c>
      <c r="I15" s="6">
        <f t="shared" si="3"/>
        <v>1.227808</v>
      </c>
      <c r="J15" s="10">
        <f t="shared" si="4"/>
        <v>0.49253731343283574</v>
      </c>
    </row>
    <row r="16" spans="1:26" ht="12.75" x14ac:dyDescent="0.2">
      <c r="A16" s="9">
        <v>15</v>
      </c>
      <c r="B16" s="8" t="s">
        <v>17</v>
      </c>
      <c r="C16" s="8">
        <v>1</v>
      </c>
      <c r="D16" s="6">
        <v>3.99</v>
      </c>
      <c r="E16" s="6">
        <f t="shared" si="0"/>
        <v>3.99</v>
      </c>
      <c r="F16" s="6">
        <f t="shared" si="1"/>
        <v>4.127256</v>
      </c>
      <c r="G16" s="7">
        <v>5.5</v>
      </c>
      <c r="H16" s="6">
        <f t="shared" si="2"/>
        <v>1.5099999999999998</v>
      </c>
      <c r="I16" s="6">
        <f t="shared" si="3"/>
        <v>1.372744</v>
      </c>
      <c r="J16" s="10">
        <f t="shared" si="4"/>
        <v>0.37844611528822047</v>
      </c>
    </row>
    <row r="17" spans="1:10" ht="12.75" x14ac:dyDescent="0.2">
      <c r="A17" s="9">
        <v>16</v>
      </c>
      <c r="B17" s="8" t="s">
        <v>18</v>
      </c>
      <c r="C17" s="8">
        <v>1</v>
      </c>
      <c r="D17" s="6">
        <v>9.98</v>
      </c>
      <c r="E17" s="6">
        <f t="shared" si="0"/>
        <v>9.98</v>
      </c>
      <c r="F17" s="6">
        <f t="shared" si="1"/>
        <v>10.323312</v>
      </c>
      <c r="G17" s="7">
        <v>12</v>
      </c>
      <c r="H17" s="6">
        <f t="shared" si="2"/>
        <v>2.0199999999999996</v>
      </c>
      <c r="I17" s="6">
        <f t="shared" si="3"/>
        <v>1.6766880000000004</v>
      </c>
      <c r="J17" s="10">
        <f t="shared" si="4"/>
        <v>0.20240480961923843</v>
      </c>
    </row>
    <row r="18" spans="1:10" ht="12.75" x14ac:dyDescent="0.2">
      <c r="A18" s="9">
        <v>17</v>
      </c>
      <c r="B18" s="8" t="s">
        <v>19</v>
      </c>
      <c r="C18" s="8">
        <v>1</v>
      </c>
      <c r="D18" s="6">
        <v>2.39</v>
      </c>
      <c r="E18" s="6">
        <f t="shared" si="0"/>
        <v>2.39</v>
      </c>
      <c r="F18" s="6">
        <f t="shared" si="1"/>
        <v>2.472216</v>
      </c>
      <c r="G18" s="7">
        <v>4</v>
      </c>
      <c r="H18" s="6">
        <f t="shared" si="2"/>
        <v>1.6099999999999999</v>
      </c>
      <c r="I18" s="6">
        <f t="shared" si="3"/>
        <v>1.527784</v>
      </c>
      <c r="J18" s="10">
        <f t="shared" si="4"/>
        <v>0.67364016736401666</v>
      </c>
    </row>
    <row r="19" spans="1:10" ht="12.75" x14ac:dyDescent="0.2">
      <c r="A19" s="9">
        <v>18</v>
      </c>
      <c r="B19" s="8" t="s">
        <v>20</v>
      </c>
      <c r="C19" s="8">
        <v>1</v>
      </c>
      <c r="D19" s="6">
        <v>8.9</v>
      </c>
      <c r="E19" s="6">
        <f t="shared" si="0"/>
        <v>8.9</v>
      </c>
      <c r="F19" s="6">
        <f t="shared" si="1"/>
        <v>9.2061600000000006</v>
      </c>
      <c r="G19" s="7">
        <v>11</v>
      </c>
      <c r="H19" s="6">
        <f t="shared" si="2"/>
        <v>2.0999999999999996</v>
      </c>
      <c r="I19" s="6">
        <f t="shared" si="3"/>
        <v>1.7938399999999994</v>
      </c>
      <c r="J19" s="10">
        <f t="shared" si="4"/>
        <v>0.23595505617977522</v>
      </c>
    </row>
    <row r="20" spans="1:10" ht="12.75" x14ac:dyDescent="0.2">
      <c r="A20" s="9">
        <v>19</v>
      </c>
      <c r="B20" s="8" t="s">
        <v>21</v>
      </c>
      <c r="C20" s="8">
        <v>1</v>
      </c>
      <c r="D20" s="6">
        <v>6.95</v>
      </c>
      <c r="E20" s="6">
        <f t="shared" si="0"/>
        <v>6.95</v>
      </c>
      <c r="F20" s="6">
        <f t="shared" si="1"/>
        <v>7.1890800000000006</v>
      </c>
      <c r="G20" s="7">
        <v>8</v>
      </c>
      <c r="H20" s="6">
        <f t="shared" si="2"/>
        <v>1.0499999999999998</v>
      </c>
      <c r="I20" s="6">
        <f t="shared" si="3"/>
        <v>0.81091999999999942</v>
      </c>
      <c r="J20" s="10">
        <f t="shared" si="4"/>
        <v>0.15107913669064746</v>
      </c>
    </row>
    <row r="21" spans="1:10" ht="12.75" x14ac:dyDescent="0.2">
      <c r="A21" s="9">
        <v>20</v>
      </c>
      <c r="B21" s="8" t="s">
        <v>22</v>
      </c>
      <c r="C21" s="8">
        <v>1</v>
      </c>
      <c r="D21" s="6">
        <v>5.89</v>
      </c>
      <c r="E21" s="6">
        <f t="shared" si="0"/>
        <v>5.89</v>
      </c>
      <c r="F21" s="6">
        <f t="shared" si="1"/>
        <v>6.0926159999999996</v>
      </c>
      <c r="G21" s="7">
        <v>7</v>
      </c>
      <c r="H21" s="6">
        <f t="shared" si="2"/>
        <v>1.1100000000000003</v>
      </c>
      <c r="I21" s="6">
        <f t="shared" si="3"/>
        <v>0.90738400000000041</v>
      </c>
      <c r="J21" s="10">
        <f t="shared" si="4"/>
        <v>0.1884550084889644</v>
      </c>
    </row>
    <row r="22" spans="1:10" ht="12.75" x14ac:dyDescent="0.2">
      <c r="A22" s="9">
        <v>21</v>
      </c>
      <c r="B22" s="8" t="s">
        <v>23</v>
      </c>
      <c r="C22" s="8">
        <v>1</v>
      </c>
      <c r="D22" s="6">
        <v>4.09</v>
      </c>
      <c r="E22" s="6">
        <f t="shared" si="0"/>
        <v>4.09</v>
      </c>
      <c r="F22" s="6">
        <f t="shared" si="1"/>
        <v>4.230696</v>
      </c>
      <c r="G22" s="7">
        <v>6.1</v>
      </c>
      <c r="H22" s="6">
        <f t="shared" si="2"/>
        <v>2.0099999999999998</v>
      </c>
      <c r="I22" s="6">
        <f t="shared" si="3"/>
        <v>1.8693039999999996</v>
      </c>
      <c r="J22" s="10">
        <f t="shared" si="4"/>
        <v>0.49144254278728605</v>
      </c>
    </row>
    <row r="23" spans="1:10" ht="12.75" x14ac:dyDescent="0.2">
      <c r="A23" s="9">
        <v>22</v>
      </c>
      <c r="B23" s="8" t="s">
        <v>24</v>
      </c>
      <c r="C23" s="8">
        <v>100</v>
      </c>
      <c r="D23" s="6">
        <v>7.99</v>
      </c>
      <c r="E23" s="6">
        <f t="shared" si="0"/>
        <v>7.9899999999999999E-2</v>
      </c>
      <c r="F23" s="6">
        <f t="shared" si="1"/>
        <v>8.2648559999999996E-2</v>
      </c>
      <c r="G23" s="7">
        <v>0.2</v>
      </c>
      <c r="H23" s="6">
        <f t="shared" si="2"/>
        <v>0.12010000000000001</v>
      </c>
      <c r="I23" s="6">
        <f t="shared" si="3"/>
        <v>0.11735144000000002</v>
      </c>
      <c r="J23" s="10">
        <f t="shared" si="4"/>
        <v>1.5031289111389239</v>
      </c>
    </row>
    <row r="24" spans="1:10" ht="12.75" x14ac:dyDescent="0.2">
      <c r="A24" s="9">
        <v>23</v>
      </c>
      <c r="B24" s="8" t="s">
        <v>25</v>
      </c>
      <c r="C24" s="8">
        <v>100</v>
      </c>
      <c r="D24" s="6">
        <v>7.5</v>
      </c>
      <c r="E24" s="6">
        <f t="shared" si="0"/>
        <v>7.4999999999999997E-2</v>
      </c>
      <c r="F24" s="6">
        <f t="shared" si="1"/>
        <v>7.7579999999999996E-2</v>
      </c>
      <c r="G24" s="7">
        <v>0.15</v>
      </c>
      <c r="H24" s="6">
        <f t="shared" si="2"/>
        <v>7.4999999999999997E-2</v>
      </c>
      <c r="I24" s="6">
        <f t="shared" si="3"/>
        <v>7.2419999999999998E-2</v>
      </c>
      <c r="J24" s="10">
        <f t="shared" si="4"/>
        <v>1</v>
      </c>
    </row>
    <row r="25" spans="1:10" ht="12.75" x14ac:dyDescent="0.2">
      <c r="A25" s="9">
        <v>24</v>
      </c>
      <c r="B25" s="8" t="s">
        <v>26</v>
      </c>
      <c r="C25" s="8">
        <v>30</v>
      </c>
      <c r="D25" s="6">
        <v>15.5</v>
      </c>
      <c r="E25" s="6">
        <f t="shared" si="0"/>
        <v>0.51666666666666672</v>
      </c>
      <c r="F25" s="6">
        <f t="shared" si="1"/>
        <v>0.53444000000000003</v>
      </c>
      <c r="G25" s="7">
        <v>1</v>
      </c>
      <c r="H25" s="6">
        <f t="shared" si="2"/>
        <v>0.48333333333333328</v>
      </c>
      <c r="I25" s="6">
        <f t="shared" si="3"/>
        <v>0.46555999999999997</v>
      </c>
      <c r="J25" s="10">
        <f t="shared" si="4"/>
        <v>0.93548387096774177</v>
      </c>
    </row>
    <row r="26" spans="1:10" ht="12.75" x14ac:dyDescent="0.2">
      <c r="A26" s="9">
        <v>25</v>
      </c>
      <c r="B26" s="8" t="s">
        <v>27</v>
      </c>
      <c r="C26" s="8">
        <v>100</v>
      </c>
      <c r="D26" s="6">
        <v>7.9</v>
      </c>
      <c r="E26" s="6">
        <f t="shared" si="0"/>
        <v>7.9000000000000001E-2</v>
      </c>
      <c r="F26" s="6">
        <f t="shared" si="1"/>
        <v>8.1717600000000001E-2</v>
      </c>
      <c r="G26" s="7">
        <f>0.2</f>
        <v>0.2</v>
      </c>
      <c r="H26" s="6">
        <f t="shared" si="2"/>
        <v>0.12100000000000001</v>
      </c>
      <c r="I26" s="6">
        <f t="shared" si="3"/>
        <v>0.11828240000000001</v>
      </c>
      <c r="J26" s="10">
        <f t="shared" si="4"/>
        <v>1.5316455696202533</v>
      </c>
    </row>
    <row r="27" spans="1:10" ht="12.75" x14ac:dyDescent="0.2">
      <c r="A27" s="9">
        <v>26</v>
      </c>
      <c r="B27" s="8" t="s">
        <v>28</v>
      </c>
      <c r="C27" s="8">
        <v>12</v>
      </c>
      <c r="D27" s="6">
        <v>6.89</v>
      </c>
      <c r="E27" s="6">
        <f t="shared" si="0"/>
        <v>0.5741666666666666</v>
      </c>
      <c r="F27" s="6">
        <f t="shared" si="1"/>
        <v>0.59391799999999995</v>
      </c>
      <c r="G27" s="7">
        <v>1.25</v>
      </c>
      <c r="H27" s="6">
        <f t="shared" si="2"/>
        <v>0.6758333333333334</v>
      </c>
      <c r="I27" s="6">
        <f t="shared" si="3"/>
        <v>0.65608200000000005</v>
      </c>
      <c r="J27" s="10">
        <f t="shared" si="4"/>
        <v>1.1770682148040641</v>
      </c>
    </row>
    <row r="28" spans="1:10" ht="12.75" x14ac:dyDescent="0.2">
      <c r="A28" s="9">
        <v>27</v>
      </c>
      <c r="B28" s="8" t="s">
        <v>29</v>
      </c>
      <c r="C28" s="8">
        <v>30</v>
      </c>
      <c r="D28" s="6">
        <v>24.9</v>
      </c>
      <c r="E28" s="6">
        <f t="shared" si="0"/>
        <v>0.83</v>
      </c>
      <c r="F28" s="6">
        <f t="shared" si="1"/>
        <v>0.85855199999999998</v>
      </c>
      <c r="G28" s="7">
        <v>1.25</v>
      </c>
      <c r="H28" s="6">
        <f t="shared" si="2"/>
        <v>0.42000000000000004</v>
      </c>
      <c r="I28" s="6">
        <f t="shared" si="3"/>
        <v>0.39144800000000002</v>
      </c>
      <c r="J28" s="10">
        <f t="shared" si="4"/>
        <v>0.50602409638554224</v>
      </c>
    </row>
    <row r="29" spans="1:10" ht="12.75" x14ac:dyDescent="0.2">
      <c r="A29" s="9">
        <v>28</v>
      </c>
      <c r="B29" s="8" t="s">
        <v>30</v>
      </c>
      <c r="C29" s="8">
        <v>1</v>
      </c>
      <c r="D29" s="6">
        <v>1.1499999999999999</v>
      </c>
      <c r="E29" s="6">
        <f t="shared" si="0"/>
        <v>1.1499999999999999</v>
      </c>
      <c r="F29" s="6">
        <f t="shared" si="1"/>
        <v>1.18956</v>
      </c>
      <c r="G29" s="7">
        <v>2.5</v>
      </c>
      <c r="H29" s="6">
        <f t="shared" si="2"/>
        <v>1.35</v>
      </c>
      <c r="I29" s="6">
        <f t="shared" si="3"/>
        <v>1.31044</v>
      </c>
      <c r="J29" s="10">
        <f t="shared" si="4"/>
        <v>1.173913043478261</v>
      </c>
    </row>
    <row r="30" spans="1:10" ht="12.75" x14ac:dyDescent="0.2">
      <c r="A30" s="9">
        <v>29</v>
      </c>
      <c r="B30" s="8" t="s">
        <v>31</v>
      </c>
      <c r="C30" s="8">
        <v>1</v>
      </c>
      <c r="D30" s="6">
        <v>0.92</v>
      </c>
      <c r="E30" s="6">
        <f t="shared" si="0"/>
        <v>0.92</v>
      </c>
      <c r="F30" s="6">
        <f t="shared" si="1"/>
        <v>0.95164800000000005</v>
      </c>
      <c r="G30" s="7">
        <v>2</v>
      </c>
      <c r="H30" s="6">
        <f t="shared" si="2"/>
        <v>1.08</v>
      </c>
      <c r="I30" s="6">
        <f t="shared" si="3"/>
        <v>1.048352</v>
      </c>
      <c r="J30" s="10">
        <f t="shared" si="4"/>
        <v>1.173913043478261</v>
      </c>
    </row>
    <row r="31" spans="1:10" ht="12.75" x14ac:dyDescent="0.2">
      <c r="A31" s="9">
        <v>30</v>
      </c>
      <c r="B31" s="8" t="s">
        <v>32</v>
      </c>
      <c r="C31" s="8">
        <v>1</v>
      </c>
      <c r="D31" s="6">
        <v>1.55</v>
      </c>
      <c r="E31" s="6">
        <f t="shared" si="0"/>
        <v>1.55</v>
      </c>
      <c r="F31" s="6">
        <f t="shared" si="1"/>
        <v>1.6033200000000001</v>
      </c>
      <c r="G31" s="7">
        <v>2.4</v>
      </c>
      <c r="H31" s="6">
        <f t="shared" si="2"/>
        <v>0.84999999999999987</v>
      </c>
      <c r="I31" s="6">
        <f t="shared" si="3"/>
        <v>0.79667999999999983</v>
      </c>
      <c r="J31" s="10">
        <f t="shared" si="4"/>
        <v>0.54838709677419339</v>
      </c>
    </row>
    <row r="32" spans="1:10" ht="12.75" x14ac:dyDescent="0.2">
      <c r="A32" s="9">
        <v>31</v>
      </c>
      <c r="B32" s="8" t="s">
        <v>33</v>
      </c>
      <c r="C32" s="8">
        <v>1</v>
      </c>
      <c r="D32" s="6">
        <v>1.39</v>
      </c>
      <c r="E32" s="6">
        <f t="shared" si="0"/>
        <v>1.39</v>
      </c>
      <c r="F32" s="6">
        <f t="shared" si="1"/>
        <v>1.437816</v>
      </c>
      <c r="G32" s="7">
        <v>2.5</v>
      </c>
      <c r="H32" s="6">
        <f t="shared" si="2"/>
        <v>1.1100000000000001</v>
      </c>
      <c r="I32" s="6">
        <f t="shared" si="3"/>
        <v>1.062184</v>
      </c>
      <c r="J32" s="10">
        <f t="shared" si="4"/>
        <v>0.79856115107913683</v>
      </c>
    </row>
    <row r="33" spans="1:10" ht="12.75" x14ac:dyDescent="0.2">
      <c r="A33" s="9">
        <v>32</v>
      </c>
      <c r="B33" s="8" t="s">
        <v>34</v>
      </c>
      <c r="C33" s="8">
        <v>1</v>
      </c>
      <c r="D33" s="6">
        <v>2.85</v>
      </c>
      <c r="E33" s="6">
        <f t="shared" si="0"/>
        <v>2.85</v>
      </c>
      <c r="F33" s="6">
        <f t="shared" si="1"/>
        <v>2.9480400000000002</v>
      </c>
      <c r="G33" s="7">
        <v>3.8</v>
      </c>
      <c r="H33" s="6">
        <f t="shared" si="2"/>
        <v>0.94999999999999973</v>
      </c>
      <c r="I33" s="6">
        <f t="shared" si="3"/>
        <v>0.85195999999999961</v>
      </c>
      <c r="J33" s="10">
        <f t="shared" si="4"/>
        <v>0.3333333333333332</v>
      </c>
    </row>
    <row r="34" spans="1:10" ht="12.75" x14ac:dyDescent="0.2">
      <c r="A34" s="9">
        <v>33</v>
      </c>
      <c r="B34" s="8" t="s">
        <v>35</v>
      </c>
      <c r="C34" s="8">
        <v>1</v>
      </c>
      <c r="D34" s="6">
        <v>3.58</v>
      </c>
      <c r="E34" s="6">
        <f t="shared" si="0"/>
        <v>3.58</v>
      </c>
      <c r="F34" s="6">
        <f t="shared" si="1"/>
        <v>3.7031520000000002</v>
      </c>
      <c r="G34" s="7">
        <v>5.5</v>
      </c>
      <c r="H34" s="6">
        <f t="shared" si="2"/>
        <v>1.92</v>
      </c>
      <c r="I34" s="6">
        <f t="shared" si="3"/>
        <v>1.7968479999999998</v>
      </c>
      <c r="J34" s="10">
        <f t="shared" si="4"/>
        <v>0.53631284916201116</v>
      </c>
    </row>
    <row r="35" spans="1:10" ht="12.75" x14ac:dyDescent="0.2">
      <c r="A35" s="9">
        <v>34</v>
      </c>
      <c r="B35" s="8" t="s">
        <v>36</v>
      </c>
      <c r="C35" s="8">
        <v>1</v>
      </c>
      <c r="D35" s="6">
        <v>3.99</v>
      </c>
      <c r="E35" s="6">
        <f t="shared" si="0"/>
        <v>3.99</v>
      </c>
      <c r="F35" s="6">
        <f t="shared" si="1"/>
        <v>4.127256</v>
      </c>
      <c r="G35" s="7">
        <v>5.5</v>
      </c>
      <c r="H35" s="6">
        <f t="shared" si="2"/>
        <v>1.5099999999999998</v>
      </c>
      <c r="I35" s="6">
        <f t="shared" si="3"/>
        <v>1.372744</v>
      </c>
      <c r="J35" s="10">
        <f t="shared" si="4"/>
        <v>0.37844611528822047</v>
      </c>
    </row>
    <row r="36" spans="1:10" ht="12.75" x14ac:dyDescent="0.2">
      <c r="A36" s="9">
        <v>35</v>
      </c>
      <c r="B36" s="8" t="s">
        <v>37</v>
      </c>
      <c r="C36" s="8">
        <v>1</v>
      </c>
      <c r="D36" s="6">
        <v>1.85</v>
      </c>
      <c r="E36" s="6">
        <f t="shared" si="0"/>
        <v>1.85</v>
      </c>
      <c r="F36" s="6">
        <f t="shared" si="1"/>
        <v>1.91364</v>
      </c>
      <c r="G36" s="7">
        <v>2.5</v>
      </c>
      <c r="H36" s="6">
        <f t="shared" si="2"/>
        <v>0.64999999999999991</v>
      </c>
      <c r="I36" s="6">
        <f t="shared" si="3"/>
        <v>0.58635999999999999</v>
      </c>
      <c r="J36" s="10">
        <f t="shared" si="4"/>
        <v>0.35135135135135126</v>
      </c>
    </row>
    <row r="37" spans="1:10" ht="12.75" x14ac:dyDescent="0.2">
      <c r="A37" s="9">
        <v>36</v>
      </c>
      <c r="B37" s="8" t="s">
        <v>38</v>
      </c>
      <c r="C37" s="8">
        <v>1</v>
      </c>
      <c r="D37" s="6">
        <v>1.58</v>
      </c>
      <c r="E37" s="6">
        <f t="shared" si="0"/>
        <v>1.58</v>
      </c>
      <c r="F37" s="6">
        <f t="shared" si="1"/>
        <v>1.634352</v>
      </c>
      <c r="G37" s="7">
        <v>2.5</v>
      </c>
      <c r="H37" s="6">
        <f t="shared" si="2"/>
        <v>0.91999999999999993</v>
      </c>
      <c r="I37" s="6">
        <f t="shared" si="3"/>
        <v>0.86564799999999997</v>
      </c>
      <c r="J37" s="10">
        <f t="shared" si="4"/>
        <v>0.58227848101265811</v>
      </c>
    </row>
    <row r="38" spans="1:10" ht="12.75" x14ac:dyDescent="0.2">
      <c r="A38" s="9">
        <v>37</v>
      </c>
      <c r="B38" s="8" t="s">
        <v>39</v>
      </c>
      <c r="C38" s="8">
        <v>1</v>
      </c>
      <c r="D38" s="6">
        <v>4.99</v>
      </c>
      <c r="E38" s="6">
        <f t="shared" si="0"/>
        <v>4.99</v>
      </c>
      <c r="F38" s="6">
        <f t="shared" si="1"/>
        <v>5.1616559999999998</v>
      </c>
      <c r="G38" s="7">
        <v>6.4</v>
      </c>
      <c r="H38" s="6">
        <f t="shared" si="2"/>
        <v>1.4100000000000001</v>
      </c>
      <c r="I38" s="6">
        <f t="shared" si="3"/>
        <v>1.2383440000000006</v>
      </c>
      <c r="J38" s="10">
        <f t="shared" si="4"/>
        <v>0.28256513026052105</v>
      </c>
    </row>
    <row r="39" spans="1:10" ht="12.75" x14ac:dyDescent="0.2">
      <c r="A39" s="9">
        <v>38</v>
      </c>
      <c r="B39" s="8" t="s">
        <v>40</v>
      </c>
      <c r="C39" s="8">
        <v>14</v>
      </c>
      <c r="D39" s="6">
        <v>7</v>
      </c>
      <c r="E39" s="6">
        <f t="shared" si="0"/>
        <v>0.5</v>
      </c>
      <c r="F39" s="6">
        <f t="shared" si="1"/>
        <v>0.51719999999999999</v>
      </c>
      <c r="G39" s="7">
        <v>0.9</v>
      </c>
      <c r="H39" s="6">
        <f t="shared" si="2"/>
        <v>0.4</v>
      </c>
      <c r="I39" s="6">
        <f t="shared" si="3"/>
        <v>0.38280000000000003</v>
      </c>
      <c r="J39" s="10">
        <f t="shared" si="4"/>
        <v>0.8</v>
      </c>
    </row>
    <row r="40" spans="1:10" ht="12.75" x14ac:dyDescent="0.2">
      <c r="A40" s="9">
        <v>39</v>
      </c>
      <c r="B40" s="8" t="s">
        <v>41</v>
      </c>
      <c r="C40" s="8">
        <v>1</v>
      </c>
      <c r="D40" s="6">
        <v>5.0999999999999996</v>
      </c>
      <c r="E40" s="6">
        <f t="shared" si="0"/>
        <v>5.0999999999999996</v>
      </c>
      <c r="F40" s="6">
        <f t="shared" si="1"/>
        <v>5.2754399999999997</v>
      </c>
      <c r="G40" s="7">
        <v>6.2</v>
      </c>
      <c r="H40" s="6">
        <f t="shared" si="2"/>
        <v>1.1000000000000005</v>
      </c>
      <c r="I40" s="6">
        <f t="shared" si="3"/>
        <v>0.92456000000000049</v>
      </c>
      <c r="J40" s="10">
        <f t="shared" si="4"/>
        <v>0.21568627450980404</v>
      </c>
    </row>
    <row r="41" spans="1:10" ht="12.75" x14ac:dyDescent="0.2">
      <c r="A41" s="9">
        <v>40</v>
      </c>
      <c r="B41" s="8" t="s">
        <v>42</v>
      </c>
      <c r="C41" s="8">
        <v>1</v>
      </c>
      <c r="D41" s="6">
        <v>1.99</v>
      </c>
      <c r="E41" s="6">
        <f t="shared" si="0"/>
        <v>1.99</v>
      </c>
      <c r="F41" s="6">
        <f t="shared" si="1"/>
        <v>2.0584560000000001</v>
      </c>
      <c r="G41" s="7">
        <v>2.5</v>
      </c>
      <c r="H41" s="6">
        <f t="shared" si="2"/>
        <v>0.51</v>
      </c>
      <c r="I41" s="6">
        <f t="shared" si="3"/>
        <v>0.44154399999999994</v>
      </c>
      <c r="J41" s="10">
        <f t="shared" si="4"/>
        <v>0.25628140703517588</v>
      </c>
    </row>
    <row r="42" spans="1:10" ht="12.75" x14ac:dyDescent="0.2">
      <c r="A42" s="9">
        <v>41</v>
      </c>
      <c r="B42" s="8" t="s">
        <v>43</v>
      </c>
      <c r="C42" s="8">
        <v>1</v>
      </c>
      <c r="D42" s="6">
        <v>14.68</v>
      </c>
      <c r="E42" s="6">
        <f t="shared" si="0"/>
        <v>14.68</v>
      </c>
      <c r="F42" s="6">
        <f t="shared" si="1"/>
        <v>15.184991999999999</v>
      </c>
      <c r="G42" s="7">
        <v>17</v>
      </c>
      <c r="H42" s="6">
        <f t="shared" si="2"/>
        <v>2.3200000000000003</v>
      </c>
      <c r="I42" s="6">
        <f t="shared" si="3"/>
        <v>1.8150080000000006</v>
      </c>
      <c r="J42" s="10">
        <f t="shared" si="4"/>
        <v>0.15803814713896461</v>
      </c>
    </row>
    <row r="43" spans="1:10" ht="12.75" x14ac:dyDescent="0.2">
      <c r="A43" s="9">
        <v>42</v>
      </c>
      <c r="B43" s="8" t="s">
        <v>44</v>
      </c>
      <c r="C43" s="8">
        <v>1</v>
      </c>
      <c r="D43" s="6">
        <v>7.83</v>
      </c>
      <c r="E43" s="6">
        <f t="shared" si="0"/>
        <v>7.83</v>
      </c>
      <c r="F43" s="6">
        <f t="shared" si="1"/>
        <v>8.0993519999999997</v>
      </c>
      <c r="G43" s="7">
        <v>10</v>
      </c>
      <c r="H43" s="6">
        <f t="shared" si="2"/>
        <v>2.17</v>
      </c>
      <c r="I43" s="6">
        <f t="shared" si="3"/>
        <v>1.9006480000000003</v>
      </c>
      <c r="J43" s="10">
        <f t="shared" si="4"/>
        <v>0.27713920817369092</v>
      </c>
    </row>
    <row r="44" spans="1:10" ht="12.75" x14ac:dyDescent="0.2">
      <c r="A44" s="9">
        <v>43</v>
      </c>
      <c r="B44" s="8" t="s">
        <v>45</v>
      </c>
      <c r="C44" s="8">
        <v>1</v>
      </c>
      <c r="D44" s="6">
        <v>12.99</v>
      </c>
      <c r="E44" s="6">
        <f t="shared" si="0"/>
        <v>12.99</v>
      </c>
      <c r="F44" s="6">
        <f t="shared" si="1"/>
        <v>13.436856000000001</v>
      </c>
      <c r="G44" s="7">
        <v>15.6</v>
      </c>
      <c r="H44" s="6">
        <f t="shared" si="2"/>
        <v>2.6099999999999994</v>
      </c>
      <c r="I44" s="6">
        <f t="shared" si="3"/>
        <v>2.1631439999999991</v>
      </c>
      <c r="J44" s="10">
        <f t="shared" si="4"/>
        <v>0.2009237875288683</v>
      </c>
    </row>
    <row r="45" spans="1:10" ht="12.75" x14ac:dyDescent="0.2">
      <c r="A45" s="9">
        <v>44</v>
      </c>
      <c r="B45" s="8" t="s">
        <v>46</v>
      </c>
      <c r="C45" s="8">
        <v>1</v>
      </c>
      <c r="D45" s="6">
        <v>7.99</v>
      </c>
      <c r="E45" s="6">
        <f t="shared" si="0"/>
        <v>7.99</v>
      </c>
      <c r="F45" s="6">
        <f t="shared" si="1"/>
        <v>8.264856</v>
      </c>
      <c r="G45" s="7">
        <v>12</v>
      </c>
      <c r="H45" s="6">
        <f t="shared" si="2"/>
        <v>4.01</v>
      </c>
      <c r="I45" s="6">
        <f t="shared" si="3"/>
        <v>3.735144</v>
      </c>
      <c r="J45" s="10">
        <f t="shared" si="4"/>
        <v>0.50187734668335415</v>
      </c>
    </row>
    <row r="46" spans="1:10" ht="12.75" x14ac:dyDescent="0.2">
      <c r="A46" s="9">
        <v>45</v>
      </c>
      <c r="B46" s="8" t="s">
        <v>47</v>
      </c>
      <c r="C46" s="8">
        <v>1</v>
      </c>
      <c r="D46" s="6">
        <v>5.99</v>
      </c>
      <c r="E46" s="6">
        <f t="shared" si="0"/>
        <v>5.99</v>
      </c>
      <c r="F46" s="6">
        <f t="shared" si="1"/>
        <v>6.1960560000000005</v>
      </c>
      <c r="G46" s="7">
        <v>7.9</v>
      </c>
      <c r="H46" s="6">
        <f t="shared" si="2"/>
        <v>1.9100000000000001</v>
      </c>
      <c r="I46" s="6">
        <f t="shared" si="3"/>
        <v>1.7039439999999999</v>
      </c>
      <c r="J46" s="10">
        <f t="shared" si="4"/>
        <v>0.31886477462437396</v>
      </c>
    </row>
    <row r="47" spans="1:10" ht="12.75" x14ac:dyDescent="0.2">
      <c r="A47" s="9">
        <v>46</v>
      </c>
      <c r="B47" s="8" t="s">
        <v>48</v>
      </c>
      <c r="C47" s="8">
        <v>1</v>
      </c>
      <c r="D47" s="6">
        <v>11.98</v>
      </c>
      <c r="E47" s="6">
        <f t="shared" si="0"/>
        <v>11.98</v>
      </c>
      <c r="F47" s="6">
        <f t="shared" si="1"/>
        <v>12.392112000000001</v>
      </c>
      <c r="G47" s="7">
        <v>14</v>
      </c>
      <c r="H47" s="6">
        <f t="shared" si="2"/>
        <v>2.0199999999999996</v>
      </c>
      <c r="I47" s="6">
        <f t="shared" si="3"/>
        <v>1.6078879999999991</v>
      </c>
      <c r="J47" s="10">
        <f t="shared" si="4"/>
        <v>0.16861435726210347</v>
      </c>
    </row>
    <row r="48" spans="1:10" ht="12.75" x14ac:dyDescent="0.2">
      <c r="A48" s="9">
        <v>47</v>
      </c>
      <c r="B48" s="8" t="s">
        <v>49</v>
      </c>
      <c r="C48" s="8">
        <v>1</v>
      </c>
      <c r="D48" s="6">
        <v>7.59</v>
      </c>
      <c r="E48" s="6">
        <f t="shared" si="0"/>
        <v>7.59</v>
      </c>
      <c r="F48" s="6">
        <f t="shared" si="1"/>
        <v>7.8510960000000001</v>
      </c>
      <c r="G48" s="7">
        <v>9</v>
      </c>
      <c r="H48" s="6">
        <f t="shared" si="2"/>
        <v>1.4100000000000001</v>
      </c>
      <c r="I48" s="6">
        <f t="shared" si="3"/>
        <v>1.1489039999999999</v>
      </c>
      <c r="J48" s="10">
        <f t="shared" si="4"/>
        <v>0.1857707509881423</v>
      </c>
    </row>
    <row r="49" spans="1:10" ht="12.75" x14ac:dyDescent="0.2">
      <c r="A49" s="9">
        <v>48</v>
      </c>
      <c r="B49" s="8" t="s">
        <v>50</v>
      </c>
      <c r="C49" s="8">
        <v>1</v>
      </c>
      <c r="D49" s="6">
        <v>14.98</v>
      </c>
      <c r="E49" s="6">
        <f t="shared" si="0"/>
        <v>14.98</v>
      </c>
      <c r="F49" s="6">
        <f t="shared" si="1"/>
        <v>15.495312</v>
      </c>
      <c r="G49" s="7">
        <v>17.399999999999999</v>
      </c>
      <c r="H49" s="6">
        <f t="shared" si="2"/>
        <v>2.4199999999999982</v>
      </c>
      <c r="I49" s="6">
        <f t="shared" si="3"/>
        <v>1.9046879999999984</v>
      </c>
      <c r="J49" s="10">
        <f t="shared" si="4"/>
        <v>0.16154873164218947</v>
      </c>
    </row>
    <row r="50" spans="1:10" ht="12.75" x14ac:dyDescent="0.2">
      <c r="A50" s="9">
        <v>49</v>
      </c>
      <c r="B50" s="8" t="s">
        <v>51</v>
      </c>
      <c r="C50" s="8">
        <v>1</v>
      </c>
      <c r="D50" s="6">
        <v>1.69</v>
      </c>
      <c r="E50" s="6">
        <f t="shared" si="0"/>
        <v>1.69</v>
      </c>
      <c r="F50" s="6">
        <f t="shared" si="1"/>
        <v>1.7481359999999999</v>
      </c>
      <c r="G50" s="7">
        <v>3</v>
      </c>
      <c r="H50" s="6">
        <f t="shared" si="2"/>
        <v>1.31</v>
      </c>
      <c r="I50" s="6">
        <f t="shared" si="3"/>
        <v>1.2518640000000001</v>
      </c>
      <c r="J50" s="10">
        <f t="shared" si="4"/>
        <v>0.77514792899408291</v>
      </c>
    </row>
    <row r="51" spans="1:10" ht="12.75" x14ac:dyDescent="0.2">
      <c r="A51" s="9">
        <v>50</v>
      </c>
      <c r="B51" s="8" t="s">
        <v>52</v>
      </c>
      <c r="C51" s="8">
        <v>1</v>
      </c>
      <c r="D51" s="6">
        <v>3.99</v>
      </c>
      <c r="E51" s="6">
        <f t="shared" si="0"/>
        <v>3.99</v>
      </c>
      <c r="F51" s="6">
        <f t="shared" si="1"/>
        <v>4.127256</v>
      </c>
      <c r="G51" s="7">
        <v>5</v>
      </c>
      <c r="H51" s="6">
        <f t="shared" si="2"/>
        <v>1.0099999999999998</v>
      </c>
      <c r="I51" s="6">
        <f t="shared" si="3"/>
        <v>0.87274399999999996</v>
      </c>
      <c r="J51" s="10">
        <f t="shared" si="4"/>
        <v>0.25313283208020043</v>
      </c>
    </row>
    <row r="52" spans="1:10" ht="12.75" x14ac:dyDescent="0.2">
      <c r="A52" s="9">
        <v>51</v>
      </c>
      <c r="B52" s="8" t="s">
        <v>53</v>
      </c>
      <c r="C52" s="8">
        <v>1</v>
      </c>
      <c r="D52" s="6">
        <v>2.25</v>
      </c>
      <c r="E52" s="6">
        <f t="shared" si="0"/>
        <v>2.25</v>
      </c>
      <c r="F52" s="6">
        <f t="shared" si="1"/>
        <v>2.3273999999999999</v>
      </c>
      <c r="G52" s="7">
        <v>3.8</v>
      </c>
      <c r="H52" s="6">
        <f t="shared" si="2"/>
        <v>1.5499999999999998</v>
      </c>
      <c r="I52" s="6">
        <f t="shared" si="3"/>
        <v>1.4725999999999999</v>
      </c>
      <c r="J52" s="10">
        <f t="shared" si="4"/>
        <v>0.68888888888888877</v>
      </c>
    </row>
    <row r="53" spans="1:10" ht="12.75" x14ac:dyDescent="0.2">
      <c r="A53" s="9">
        <v>52</v>
      </c>
      <c r="B53" s="8" t="s">
        <v>54</v>
      </c>
      <c r="C53" s="8">
        <v>12</v>
      </c>
      <c r="D53" s="6">
        <v>23.88</v>
      </c>
      <c r="E53" s="6">
        <f t="shared" si="0"/>
        <v>1.99</v>
      </c>
      <c r="F53" s="6">
        <f t="shared" si="1"/>
        <v>2.0584560000000001</v>
      </c>
      <c r="G53" s="7">
        <v>3.5</v>
      </c>
      <c r="H53" s="6">
        <f t="shared" si="2"/>
        <v>1.51</v>
      </c>
      <c r="I53" s="6">
        <f t="shared" si="3"/>
        <v>1.4415439999999999</v>
      </c>
      <c r="J53" s="10">
        <f t="shared" si="4"/>
        <v>0.75879396984924619</v>
      </c>
    </row>
    <row r="54" spans="1:10" ht="12.75" x14ac:dyDescent="0.2">
      <c r="A54" s="9">
        <v>53</v>
      </c>
      <c r="B54" s="8" t="s">
        <v>55</v>
      </c>
      <c r="C54" s="8">
        <v>12</v>
      </c>
      <c r="D54" s="6">
        <v>25.08</v>
      </c>
      <c r="E54" s="6">
        <f t="shared" si="0"/>
        <v>2.09</v>
      </c>
      <c r="F54" s="6">
        <f t="shared" si="1"/>
        <v>2.161896</v>
      </c>
      <c r="G54" s="7">
        <f>3.7</f>
        <v>3.7</v>
      </c>
      <c r="H54" s="6">
        <f t="shared" si="2"/>
        <v>1.6100000000000003</v>
      </c>
      <c r="I54" s="6">
        <f t="shared" si="3"/>
        <v>1.5381040000000001</v>
      </c>
      <c r="J54" s="10">
        <f t="shared" si="4"/>
        <v>0.77033492822966532</v>
      </c>
    </row>
    <row r="55" spans="1:10" ht="12.75" x14ac:dyDescent="0.2">
      <c r="A55" s="9">
        <v>54</v>
      </c>
      <c r="B55" s="8" t="s">
        <v>56</v>
      </c>
      <c r="C55" s="8">
        <v>1</v>
      </c>
      <c r="D55" s="6">
        <v>2.4900000000000002</v>
      </c>
      <c r="E55" s="6">
        <f t="shared" si="0"/>
        <v>2.4900000000000002</v>
      </c>
      <c r="F55" s="6">
        <f t="shared" si="1"/>
        <v>2.5756560000000004</v>
      </c>
      <c r="G55" s="7">
        <v>3.6</v>
      </c>
      <c r="H55" s="6">
        <f t="shared" si="2"/>
        <v>1.1099999999999999</v>
      </c>
      <c r="I55" s="6">
        <f t="shared" si="3"/>
        <v>1.0243439999999997</v>
      </c>
      <c r="J55" s="10">
        <f t="shared" si="4"/>
        <v>0.44578313253012042</v>
      </c>
    </row>
    <row r="56" spans="1:10" ht="12.75" x14ac:dyDescent="0.2">
      <c r="A56" s="9">
        <v>55</v>
      </c>
      <c r="B56" s="8" t="s">
        <v>57</v>
      </c>
      <c r="C56" s="8">
        <v>100</v>
      </c>
      <c r="D56" s="6">
        <v>6.65</v>
      </c>
      <c r="E56" s="6">
        <f t="shared" si="0"/>
        <v>6.6500000000000004E-2</v>
      </c>
      <c r="F56" s="6">
        <f t="shared" si="1"/>
        <v>6.8787600000000004E-2</v>
      </c>
      <c r="G56" s="7">
        <f>0.15</f>
        <v>0.15</v>
      </c>
      <c r="H56" s="6">
        <f t="shared" si="2"/>
        <v>8.3499999999999991E-2</v>
      </c>
      <c r="I56" s="6">
        <f t="shared" si="3"/>
        <v>8.121239999999999E-2</v>
      </c>
      <c r="J56" s="10">
        <f t="shared" si="4"/>
        <v>1.2556390977443608</v>
      </c>
    </row>
    <row r="57" spans="1:10" ht="12.75" x14ac:dyDescent="0.2">
      <c r="A57" s="9">
        <v>56</v>
      </c>
      <c r="B57" s="8" t="s">
        <v>58</v>
      </c>
      <c r="C57" s="8">
        <v>1</v>
      </c>
      <c r="D57" s="6">
        <v>3.75</v>
      </c>
      <c r="E57" s="6">
        <f t="shared" si="0"/>
        <v>3.75</v>
      </c>
      <c r="F57" s="6">
        <f t="shared" si="1"/>
        <v>3.879</v>
      </c>
      <c r="G57" s="7">
        <v>5.9</v>
      </c>
      <c r="H57" s="6">
        <f t="shared" si="2"/>
        <v>2.1500000000000004</v>
      </c>
      <c r="I57" s="6">
        <f t="shared" si="3"/>
        <v>2.0210000000000004</v>
      </c>
      <c r="J57" s="10">
        <f t="shared" si="4"/>
        <v>0.57333333333333347</v>
      </c>
    </row>
    <row r="58" spans="1:10" ht="12.75" x14ac:dyDescent="0.2">
      <c r="A58" s="9">
        <v>57</v>
      </c>
      <c r="B58" s="8" t="s">
        <v>59</v>
      </c>
      <c r="C58" s="8">
        <v>1</v>
      </c>
      <c r="D58" s="6">
        <v>3.97</v>
      </c>
      <c r="E58" s="6">
        <f t="shared" si="0"/>
        <v>3.97</v>
      </c>
      <c r="F58" s="6">
        <f t="shared" si="1"/>
        <v>4.1065680000000002</v>
      </c>
      <c r="G58" s="7">
        <v>6</v>
      </c>
      <c r="H58" s="6">
        <f t="shared" si="2"/>
        <v>2.0299999999999998</v>
      </c>
      <c r="I58" s="6">
        <f t="shared" si="3"/>
        <v>1.8934319999999998</v>
      </c>
      <c r="J58" s="10">
        <f t="shared" si="4"/>
        <v>0.51133501259445835</v>
      </c>
    </row>
    <row r="59" spans="1:10" ht="12.75" x14ac:dyDescent="0.2">
      <c r="A59" s="9">
        <v>58</v>
      </c>
      <c r="B59" s="8" t="s">
        <v>60</v>
      </c>
      <c r="C59" s="8">
        <v>80</v>
      </c>
      <c r="D59" s="6">
        <v>20</v>
      </c>
      <c r="E59" s="6">
        <f t="shared" si="0"/>
        <v>0.25</v>
      </c>
      <c r="F59" s="6">
        <f t="shared" si="1"/>
        <v>0.2586</v>
      </c>
      <c r="G59" s="7">
        <v>0.5</v>
      </c>
      <c r="H59" s="6">
        <f t="shared" si="2"/>
        <v>0.25</v>
      </c>
      <c r="I59" s="6">
        <f t="shared" si="3"/>
        <v>0.2414</v>
      </c>
      <c r="J59" s="10">
        <f t="shared" si="4"/>
        <v>1</v>
      </c>
    </row>
    <row r="60" spans="1:10" ht="12.75" x14ac:dyDescent="0.2">
      <c r="A60" s="9">
        <v>59</v>
      </c>
      <c r="B60" s="8" t="s">
        <v>61</v>
      </c>
      <c r="C60" s="8">
        <v>4</v>
      </c>
      <c r="D60" s="6">
        <v>10</v>
      </c>
      <c r="E60" s="6">
        <f t="shared" si="0"/>
        <v>2.5</v>
      </c>
      <c r="F60" s="6">
        <f t="shared" si="1"/>
        <v>2.5859999999999999</v>
      </c>
      <c r="G60" s="7">
        <v>5</v>
      </c>
      <c r="H60" s="6">
        <f t="shared" si="2"/>
        <v>2.5</v>
      </c>
      <c r="I60" s="6">
        <f t="shared" si="3"/>
        <v>2.4140000000000001</v>
      </c>
      <c r="J60" s="10">
        <f t="shared" si="4"/>
        <v>1</v>
      </c>
    </row>
    <row r="61" spans="1:10" ht="12.75" x14ac:dyDescent="0.2">
      <c r="A61" s="9">
        <v>60</v>
      </c>
      <c r="B61" s="8" t="s">
        <v>62</v>
      </c>
      <c r="C61" s="8">
        <v>1</v>
      </c>
      <c r="D61" s="6">
        <v>0.75</v>
      </c>
      <c r="E61" s="6">
        <f t="shared" si="0"/>
        <v>0.75</v>
      </c>
      <c r="F61" s="6">
        <f t="shared" si="1"/>
        <v>0.77580000000000005</v>
      </c>
      <c r="G61" s="7">
        <v>2</v>
      </c>
      <c r="H61" s="6">
        <f t="shared" si="2"/>
        <v>1.25</v>
      </c>
      <c r="I61" s="6">
        <f t="shared" si="3"/>
        <v>1.2242</v>
      </c>
      <c r="J61" s="10">
        <f t="shared" si="4"/>
        <v>1.6666666666666667</v>
      </c>
    </row>
    <row r="62" spans="1:10" ht="12.75" x14ac:dyDescent="0.2">
      <c r="A62" s="9">
        <v>61</v>
      </c>
      <c r="B62" s="8" t="s">
        <v>63</v>
      </c>
      <c r="C62" s="8">
        <v>1</v>
      </c>
      <c r="D62" s="6">
        <v>7.89</v>
      </c>
      <c r="E62" s="6">
        <f t="shared" si="0"/>
        <v>7.89</v>
      </c>
      <c r="F62" s="6">
        <f t="shared" si="1"/>
        <v>8.1614159999999991</v>
      </c>
      <c r="G62" s="7">
        <v>10.5</v>
      </c>
      <c r="H62" s="6">
        <f t="shared" si="2"/>
        <v>2.6100000000000003</v>
      </c>
      <c r="I62" s="6">
        <f t="shared" si="3"/>
        <v>2.3385840000000009</v>
      </c>
      <c r="J62" s="10">
        <f t="shared" si="4"/>
        <v>0.33079847908745252</v>
      </c>
    </row>
    <row r="63" spans="1:10" ht="12.75" x14ac:dyDescent="0.2">
      <c r="A63" s="9">
        <v>62</v>
      </c>
      <c r="B63" s="8" t="s">
        <v>64</v>
      </c>
      <c r="C63" s="8">
        <v>1</v>
      </c>
      <c r="D63" s="6">
        <v>2.15</v>
      </c>
      <c r="E63" s="6">
        <f t="shared" si="0"/>
        <v>2.15</v>
      </c>
      <c r="F63" s="6">
        <f t="shared" si="1"/>
        <v>2.2239599999999999</v>
      </c>
      <c r="G63" s="7">
        <v>3</v>
      </c>
      <c r="H63" s="6">
        <f t="shared" si="2"/>
        <v>0.85000000000000009</v>
      </c>
      <c r="I63" s="6">
        <f t="shared" si="3"/>
        <v>0.77604000000000006</v>
      </c>
      <c r="J63" s="10">
        <f t="shared" si="4"/>
        <v>0.39534883720930236</v>
      </c>
    </row>
    <row r="64" spans="1:10" ht="12.75" x14ac:dyDescent="0.2">
      <c r="A64" s="9">
        <v>63</v>
      </c>
      <c r="B64" s="8" t="s">
        <v>65</v>
      </c>
      <c r="C64" s="8">
        <v>12</v>
      </c>
      <c r="D64" s="6">
        <v>16.2</v>
      </c>
      <c r="E64" s="6">
        <f t="shared" si="0"/>
        <v>1.3499999999999999</v>
      </c>
      <c r="F64" s="6">
        <f t="shared" si="1"/>
        <v>1.3964399999999999</v>
      </c>
      <c r="G64" s="7">
        <v>2</v>
      </c>
      <c r="H64" s="6">
        <f t="shared" si="2"/>
        <v>0.65000000000000013</v>
      </c>
      <c r="I64" s="6">
        <f t="shared" si="3"/>
        <v>0.6035600000000001</v>
      </c>
      <c r="J64" s="10">
        <f t="shared" si="4"/>
        <v>0.48148148148148162</v>
      </c>
    </row>
    <row r="65" spans="1:10" ht="12.75" x14ac:dyDescent="0.2">
      <c r="A65" s="9">
        <v>64</v>
      </c>
      <c r="B65" s="8" t="s">
        <v>66</v>
      </c>
      <c r="C65" s="8">
        <v>1</v>
      </c>
      <c r="D65" s="6">
        <v>1.69</v>
      </c>
      <c r="E65" s="6">
        <f t="shared" si="0"/>
        <v>1.69</v>
      </c>
      <c r="F65" s="6">
        <f t="shared" si="1"/>
        <v>1.7481359999999999</v>
      </c>
      <c r="G65" s="7">
        <v>2.8</v>
      </c>
      <c r="H65" s="6">
        <f t="shared" si="2"/>
        <v>1.1099999999999999</v>
      </c>
      <c r="I65" s="6">
        <f t="shared" si="3"/>
        <v>1.0518639999999999</v>
      </c>
      <c r="J65" s="10">
        <f t="shared" si="4"/>
        <v>0.65680473372781056</v>
      </c>
    </row>
    <row r="66" spans="1:10" ht="12.75" x14ac:dyDescent="0.2">
      <c r="A66" s="9">
        <v>65</v>
      </c>
      <c r="B66" s="8" t="s">
        <v>67</v>
      </c>
      <c r="C66" s="8">
        <v>1</v>
      </c>
      <c r="D66" s="6">
        <v>2.44</v>
      </c>
      <c r="E66" s="6">
        <f t="shared" ref="E66:E129" si="5">D66/C66</f>
        <v>2.44</v>
      </c>
      <c r="F66" s="6">
        <f t="shared" si="1"/>
        <v>2.523936</v>
      </c>
      <c r="G66" s="7">
        <v>3.9</v>
      </c>
      <c r="H66" s="6">
        <f t="shared" si="2"/>
        <v>1.46</v>
      </c>
      <c r="I66" s="6">
        <f t="shared" si="3"/>
        <v>1.376064</v>
      </c>
      <c r="J66" s="10">
        <f t="shared" si="4"/>
        <v>0.59836065573770492</v>
      </c>
    </row>
    <row r="67" spans="1:10" ht="12.75" x14ac:dyDescent="0.2">
      <c r="A67" s="9">
        <v>66</v>
      </c>
      <c r="B67" s="8" t="s">
        <v>68</v>
      </c>
      <c r="C67" s="8">
        <v>1</v>
      </c>
      <c r="D67" s="6">
        <v>3.79</v>
      </c>
      <c r="E67" s="6">
        <f t="shared" si="5"/>
        <v>3.79</v>
      </c>
      <c r="F67" s="6">
        <f t="shared" ref="F67:F130" si="6">E67+(E67*3.44%)</f>
        <v>3.9203760000000001</v>
      </c>
      <c r="G67" s="7">
        <v>4.9000000000000004</v>
      </c>
      <c r="H67" s="6">
        <f t="shared" ref="H67:H130" si="7">G67-E67</f>
        <v>1.1100000000000003</v>
      </c>
      <c r="I67" s="6">
        <f t="shared" ref="I67:I130" si="8">G67-F67</f>
        <v>0.97962400000000027</v>
      </c>
      <c r="J67" s="10">
        <f t="shared" ref="J67:J130" si="9">H67/E67</f>
        <v>0.29287598944591037</v>
      </c>
    </row>
    <row r="68" spans="1:10" ht="12.75" x14ac:dyDescent="0.2">
      <c r="A68" s="9">
        <v>67</v>
      </c>
      <c r="B68" s="8" t="s">
        <v>69</v>
      </c>
      <c r="C68" s="8">
        <v>1</v>
      </c>
      <c r="D68" s="6">
        <v>2.89</v>
      </c>
      <c r="E68" s="6">
        <f t="shared" si="5"/>
        <v>2.89</v>
      </c>
      <c r="F68" s="6">
        <f t="shared" si="6"/>
        <v>2.9894160000000003</v>
      </c>
      <c r="G68" s="7">
        <v>4</v>
      </c>
      <c r="H68" s="6">
        <f t="shared" si="7"/>
        <v>1.1099999999999999</v>
      </c>
      <c r="I68" s="6">
        <f t="shared" si="8"/>
        <v>1.0105839999999997</v>
      </c>
      <c r="J68" s="10">
        <f t="shared" si="9"/>
        <v>0.38408304498269891</v>
      </c>
    </row>
    <row r="69" spans="1:10" ht="12.75" x14ac:dyDescent="0.2">
      <c r="A69" s="9">
        <v>68</v>
      </c>
      <c r="B69" s="8" t="s">
        <v>70</v>
      </c>
      <c r="C69" s="8">
        <v>1</v>
      </c>
      <c r="D69" s="6">
        <v>3.05</v>
      </c>
      <c r="E69" s="6">
        <f t="shared" si="5"/>
        <v>3.05</v>
      </c>
      <c r="F69" s="6">
        <f t="shared" si="6"/>
        <v>3.1549199999999997</v>
      </c>
      <c r="G69" s="7">
        <v>4.8</v>
      </c>
      <c r="H69" s="6">
        <f t="shared" si="7"/>
        <v>1.75</v>
      </c>
      <c r="I69" s="6">
        <f t="shared" si="8"/>
        <v>1.6450800000000001</v>
      </c>
      <c r="J69" s="10">
        <f t="shared" si="9"/>
        <v>0.57377049180327877</v>
      </c>
    </row>
    <row r="70" spans="1:10" ht="12.75" x14ac:dyDescent="0.2">
      <c r="A70" s="9">
        <v>69</v>
      </c>
      <c r="B70" s="8" t="s">
        <v>71</v>
      </c>
      <c r="C70" s="8">
        <v>1</v>
      </c>
      <c r="D70" s="6">
        <v>3.49</v>
      </c>
      <c r="E70" s="6">
        <f t="shared" si="5"/>
        <v>3.49</v>
      </c>
      <c r="F70" s="6">
        <f t="shared" si="6"/>
        <v>3.6100560000000002</v>
      </c>
      <c r="G70" s="7">
        <v>4.5</v>
      </c>
      <c r="H70" s="6">
        <f t="shared" si="7"/>
        <v>1.0099999999999998</v>
      </c>
      <c r="I70" s="6">
        <f t="shared" si="8"/>
        <v>0.88994399999999985</v>
      </c>
      <c r="J70" s="10">
        <f t="shared" si="9"/>
        <v>0.28939828080229218</v>
      </c>
    </row>
    <row r="71" spans="1:10" ht="12.75" x14ac:dyDescent="0.2">
      <c r="A71" s="9">
        <v>70</v>
      </c>
      <c r="B71" s="8" t="s">
        <v>72</v>
      </c>
      <c r="C71" s="8">
        <v>1</v>
      </c>
      <c r="D71" s="6">
        <v>1.89</v>
      </c>
      <c r="E71" s="6">
        <f t="shared" si="5"/>
        <v>1.89</v>
      </c>
      <c r="F71" s="6">
        <f t="shared" si="6"/>
        <v>1.9550159999999999</v>
      </c>
      <c r="G71" s="7">
        <f>3.5</f>
        <v>3.5</v>
      </c>
      <c r="H71" s="6">
        <f t="shared" si="7"/>
        <v>1.61</v>
      </c>
      <c r="I71" s="6">
        <f t="shared" si="8"/>
        <v>1.5449840000000001</v>
      </c>
      <c r="J71" s="10">
        <f t="shared" si="9"/>
        <v>0.85185185185185197</v>
      </c>
    </row>
    <row r="72" spans="1:10" ht="12.75" x14ac:dyDescent="0.2">
      <c r="A72" s="9">
        <v>71</v>
      </c>
      <c r="B72" s="8" t="s">
        <v>73</v>
      </c>
      <c r="C72" s="8">
        <v>1</v>
      </c>
      <c r="D72" s="6">
        <v>3.09</v>
      </c>
      <c r="E72" s="6">
        <f t="shared" si="5"/>
        <v>3.09</v>
      </c>
      <c r="F72" s="6">
        <f t="shared" si="6"/>
        <v>3.1962959999999998</v>
      </c>
      <c r="G72" s="7">
        <v>5</v>
      </c>
      <c r="H72" s="6">
        <f t="shared" si="7"/>
        <v>1.9100000000000001</v>
      </c>
      <c r="I72" s="6">
        <f t="shared" si="8"/>
        <v>1.8037040000000002</v>
      </c>
      <c r="J72" s="10">
        <f t="shared" si="9"/>
        <v>0.61812297734627841</v>
      </c>
    </row>
    <row r="73" spans="1:10" ht="12.75" x14ac:dyDescent="0.2">
      <c r="A73" s="9">
        <v>72</v>
      </c>
      <c r="B73" s="8" t="s">
        <v>74</v>
      </c>
      <c r="C73" s="8">
        <v>1</v>
      </c>
      <c r="D73" s="6">
        <v>6.79</v>
      </c>
      <c r="E73" s="6">
        <f t="shared" si="5"/>
        <v>6.79</v>
      </c>
      <c r="F73" s="6">
        <f t="shared" si="6"/>
        <v>7.0235760000000003</v>
      </c>
      <c r="G73" s="7">
        <v>8.5</v>
      </c>
      <c r="H73" s="6">
        <f t="shared" si="7"/>
        <v>1.71</v>
      </c>
      <c r="I73" s="6">
        <f t="shared" si="8"/>
        <v>1.4764239999999997</v>
      </c>
      <c r="J73" s="10">
        <f t="shared" si="9"/>
        <v>0.25184094256259204</v>
      </c>
    </row>
    <row r="74" spans="1:10" ht="12.75" x14ac:dyDescent="0.2">
      <c r="A74" s="9">
        <v>73</v>
      </c>
      <c r="B74" s="8" t="s">
        <v>75</v>
      </c>
      <c r="C74" s="8">
        <v>1</v>
      </c>
      <c r="D74" s="6">
        <v>4.79</v>
      </c>
      <c r="E74" s="6">
        <f t="shared" si="5"/>
        <v>4.79</v>
      </c>
      <c r="F74" s="6">
        <f t="shared" si="6"/>
        <v>4.9547759999999998</v>
      </c>
      <c r="G74" s="7">
        <v>6</v>
      </c>
      <c r="H74" s="6">
        <f t="shared" si="7"/>
        <v>1.21</v>
      </c>
      <c r="I74" s="6">
        <f t="shared" si="8"/>
        <v>1.0452240000000002</v>
      </c>
      <c r="J74" s="10">
        <f t="shared" si="9"/>
        <v>0.25260960334029225</v>
      </c>
    </row>
    <row r="75" spans="1:10" ht="12.75" x14ac:dyDescent="0.2">
      <c r="A75" s="9">
        <v>74</v>
      </c>
      <c r="B75" s="8" t="s">
        <v>76</v>
      </c>
      <c r="C75" s="8">
        <v>1</v>
      </c>
      <c r="D75" s="6">
        <v>5.6</v>
      </c>
      <c r="E75" s="6">
        <f t="shared" si="5"/>
        <v>5.6</v>
      </c>
      <c r="F75" s="6">
        <f t="shared" si="6"/>
        <v>5.7926399999999996</v>
      </c>
      <c r="G75" s="7">
        <v>7</v>
      </c>
      <c r="H75" s="6">
        <f t="shared" si="7"/>
        <v>1.4000000000000004</v>
      </c>
      <c r="I75" s="6">
        <f t="shared" si="8"/>
        <v>1.2073600000000004</v>
      </c>
      <c r="J75" s="10">
        <f t="shared" si="9"/>
        <v>0.25000000000000006</v>
      </c>
    </row>
    <row r="76" spans="1:10" ht="12.75" x14ac:dyDescent="0.2">
      <c r="A76" s="9">
        <v>75</v>
      </c>
      <c r="B76" s="8" t="s">
        <v>77</v>
      </c>
      <c r="C76" s="8">
        <v>1</v>
      </c>
      <c r="D76" s="6">
        <v>1.6</v>
      </c>
      <c r="E76" s="6">
        <f t="shared" si="5"/>
        <v>1.6</v>
      </c>
      <c r="F76" s="6">
        <f t="shared" si="6"/>
        <v>1.6550400000000001</v>
      </c>
      <c r="G76" s="7">
        <v>2.5</v>
      </c>
      <c r="H76" s="6">
        <f t="shared" si="7"/>
        <v>0.89999999999999991</v>
      </c>
      <c r="I76" s="6">
        <f t="shared" si="8"/>
        <v>0.84495999999999993</v>
      </c>
      <c r="J76" s="10">
        <f t="shared" si="9"/>
        <v>0.56249999999999989</v>
      </c>
    </row>
    <row r="77" spans="1:10" ht="12.75" x14ac:dyDescent="0.2">
      <c r="A77" s="9">
        <v>76</v>
      </c>
      <c r="B77" s="8" t="s">
        <v>78</v>
      </c>
      <c r="C77" s="8">
        <v>1</v>
      </c>
      <c r="D77" s="6">
        <v>1.65</v>
      </c>
      <c r="E77" s="6">
        <f t="shared" si="5"/>
        <v>1.65</v>
      </c>
      <c r="F77" s="6">
        <f t="shared" si="6"/>
        <v>1.7067599999999998</v>
      </c>
      <c r="G77" s="7">
        <v>2.5</v>
      </c>
      <c r="H77" s="6">
        <f t="shared" si="7"/>
        <v>0.85000000000000009</v>
      </c>
      <c r="I77" s="6">
        <f t="shared" si="8"/>
        <v>0.79324000000000017</v>
      </c>
      <c r="J77" s="10">
        <f t="shared" si="9"/>
        <v>0.51515151515151525</v>
      </c>
    </row>
    <row r="78" spans="1:10" ht="12.75" x14ac:dyDescent="0.2">
      <c r="A78" s="9">
        <v>77</v>
      </c>
      <c r="B78" s="8" t="s">
        <v>79</v>
      </c>
      <c r="C78" s="8">
        <v>1</v>
      </c>
      <c r="D78" s="6">
        <v>1.85</v>
      </c>
      <c r="E78" s="6">
        <f t="shared" si="5"/>
        <v>1.85</v>
      </c>
      <c r="F78" s="6">
        <f t="shared" si="6"/>
        <v>1.91364</v>
      </c>
      <c r="G78" s="7">
        <v>2.7</v>
      </c>
      <c r="H78" s="6">
        <f t="shared" si="7"/>
        <v>0.85000000000000009</v>
      </c>
      <c r="I78" s="6">
        <f t="shared" si="8"/>
        <v>0.78636000000000017</v>
      </c>
      <c r="J78" s="10">
        <f t="shared" si="9"/>
        <v>0.45945945945945948</v>
      </c>
    </row>
    <row r="79" spans="1:10" ht="12.75" x14ac:dyDescent="0.2">
      <c r="A79" s="9">
        <v>78</v>
      </c>
      <c r="B79" s="8" t="s">
        <v>80</v>
      </c>
      <c r="C79" s="8">
        <v>1</v>
      </c>
      <c r="D79" s="6">
        <v>1.79</v>
      </c>
      <c r="E79" s="6">
        <f t="shared" si="5"/>
        <v>1.79</v>
      </c>
      <c r="F79" s="6">
        <f t="shared" si="6"/>
        <v>1.8515760000000001</v>
      </c>
      <c r="G79" s="7">
        <v>2.8</v>
      </c>
      <c r="H79" s="6">
        <f t="shared" si="7"/>
        <v>1.0099999999999998</v>
      </c>
      <c r="I79" s="6">
        <f t="shared" si="8"/>
        <v>0.94842399999999971</v>
      </c>
      <c r="J79" s="10">
        <f t="shared" si="9"/>
        <v>0.56424581005586583</v>
      </c>
    </row>
    <row r="80" spans="1:10" ht="12.75" x14ac:dyDescent="0.2">
      <c r="A80" s="9">
        <v>79</v>
      </c>
      <c r="B80" s="8" t="s">
        <v>81</v>
      </c>
      <c r="C80" s="8">
        <v>1</v>
      </c>
      <c r="D80" s="6">
        <v>17.79</v>
      </c>
      <c r="E80" s="6">
        <f t="shared" si="5"/>
        <v>17.79</v>
      </c>
      <c r="F80" s="6">
        <f t="shared" si="6"/>
        <v>18.401975999999998</v>
      </c>
      <c r="G80" s="7">
        <v>20</v>
      </c>
      <c r="H80" s="6">
        <f t="shared" si="7"/>
        <v>2.2100000000000009</v>
      </c>
      <c r="I80" s="6">
        <f t="shared" si="8"/>
        <v>1.5980240000000023</v>
      </c>
      <c r="J80" s="10">
        <f t="shared" si="9"/>
        <v>0.12422709387296239</v>
      </c>
    </row>
    <row r="81" spans="1:10" ht="12.75" x14ac:dyDescent="0.2">
      <c r="A81" s="9">
        <v>80</v>
      </c>
      <c r="B81" s="8" t="s">
        <v>82</v>
      </c>
      <c r="C81" s="8">
        <v>1</v>
      </c>
      <c r="D81" s="6">
        <v>10.5</v>
      </c>
      <c r="E81" s="6">
        <f t="shared" si="5"/>
        <v>10.5</v>
      </c>
      <c r="F81" s="6">
        <f t="shared" si="6"/>
        <v>10.8612</v>
      </c>
      <c r="G81" s="7">
        <v>18</v>
      </c>
      <c r="H81" s="6">
        <f t="shared" si="7"/>
        <v>7.5</v>
      </c>
      <c r="I81" s="6">
        <f t="shared" si="8"/>
        <v>7.1387999999999998</v>
      </c>
      <c r="J81" s="10">
        <f t="shared" si="9"/>
        <v>0.7142857142857143</v>
      </c>
    </row>
    <row r="82" spans="1:10" ht="12.75" x14ac:dyDescent="0.2">
      <c r="A82" s="9">
        <v>81</v>
      </c>
      <c r="B82" s="8" t="s">
        <v>83</v>
      </c>
      <c r="C82" s="8">
        <v>1</v>
      </c>
      <c r="D82" s="6">
        <v>2.29</v>
      </c>
      <c r="E82" s="6">
        <f t="shared" si="5"/>
        <v>2.29</v>
      </c>
      <c r="F82" s="6">
        <f t="shared" si="6"/>
        <v>2.368776</v>
      </c>
      <c r="G82" s="7">
        <v>3.3</v>
      </c>
      <c r="H82" s="6">
        <f t="shared" si="7"/>
        <v>1.0099999999999998</v>
      </c>
      <c r="I82" s="6">
        <f t="shared" si="8"/>
        <v>0.93122399999999983</v>
      </c>
      <c r="J82" s="10">
        <f t="shared" si="9"/>
        <v>0.44104803493449773</v>
      </c>
    </row>
    <row r="83" spans="1:10" ht="12.75" x14ac:dyDescent="0.2">
      <c r="A83" s="9">
        <v>82</v>
      </c>
      <c r="B83" s="8" t="s">
        <v>84</v>
      </c>
      <c r="C83" s="8">
        <v>1</v>
      </c>
      <c r="D83" s="6">
        <v>3.98</v>
      </c>
      <c r="E83" s="6">
        <f t="shared" si="5"/>
        <v>3.98</v>
      </c>
      <c r="F83" s="6">
        <f t="shared" si="6"/>
        <v>4.1169120000000001</v>
      </c>
      <c r="G83" s="7">
        <v>4.95</v>
      </c>
      <c r="H83" s="6">
        <f t="shared" si="7"/>
        <v>0.9700000000000002</v>
      </c>
      <c r="I83" s="6">
        <f t="shared" si="8"/>
        <v>0.83308800000000005</v>
      </c>
      <c r="J83" s="10">
        <f t="shared" si="9"/>
        <v>0.24371859296482418</v>
      </c>
    </row>
    <row r="84" spans="1:10" ht="12.75" x14ac:dyDescent="0.2">
      <c r="A84" s="9">
        <v>83</v>
      </c>
      <c r="B84" s="8" t="s">
        <v>85</v>
      </c>
      <c r="C84" s="8">
        <v>1</v>
      </c>
      <c r="D84" s="6">
        <v>3.98</v>
      </c>
      <c r="E84" s="6">
        <f t="shared" si="5"/>
        <v>3.98</v>
      </c>
      <c r="F84" s="6">
        <f t="shared" si="6"/>
        <v>4.1169120000000001</v>
      </c>
      <c r="G84" s="7">
        <v>5</v>
      </c>
      <c r="H84" s="6">
        <f t="shared" si="7"/>
        <v>1.02</v>
      </c>
      <c r="I84" s="6">
        <f t="shared" si="8"/>
        <v>0.88308799999999987</v>
      </c>
      <c r="J84" s="10">
        <f t="shared" si="9"/>
        <v>0.25628140703517588</v>
      </c>
    </row>
    <row r="85" spans="1:10" ht="12.75" x14ac:dyDescent="0.2">
      <c r="A85" s="9">
        <v>84</v>
      </c>
      <c r="B85" s="8" t="s">
        <v>86</v>
      </c>
      <c r="C85" s="8">
        <v>1</v>
      </c>
      <c r="D85" s="6">
        <v>4.79</v>
      </c>
      <c r="E85" s="6">
        <f t="shared" si="5"/>
        <v>4.79</v>
      </c>
      <c r="F85" s="6">
        <f t="shared" si="6"/>
        <v>4.9547759999999998</v>
      </c>
      <c r="G85" s="7">
        <v>6.2</v>
      </c>
      <c r="H85" s="6">
        <f t="shared" si="7"/>
        <v>1.4100000000000001</v>
      </c>
      <c r="I85" s="6">
        <f t="shared" si="8"/>
        <v>1.2452240000000003</v>
      </c>
      <c r="J85" s="10">
        <f t="shared" si="9"/>
        <v>0.29436325678496872</v>
      </c>
    </row>
    <row r="86" spans="1:10" ht="12.75" x14ac:dyDescent="0.2">
      <c r="A86" s="9">
        <v>85</v>
      </c>
      <c r="B86" s="8" t="s">
        <v>87</v>
      </c>
      <c r="C86" s="8">
        <v>1</v>
      </c>
      <c r="D86" s="6">
        <v>3.49</v>
      </c>
      <c r="E86" s="6">
        <f t="shared" si="5"/>
        <v>3.49</v>
      </c>
      <c r="F86" s="6">
        <f t="shared" si="6"/>
        <v>3.6100560000000002</v>
      </c>
      <c r="G86" s="7">
        <v>4.9000000000000004</v>
      </c>
      <c r="H86" s="6">
        <f t="shared" si="7"/>
        <v>1.4100000000000001</v>
      </c>
      <c r="I86" s="6">
        <f t="shared" si="8"/>
        <v>1.2899440000000002</v>
      </c>
      <c r="J86" s="10">
        <f t="shared" si="9"/>
        <v>0.4040114613180516</v>
      </c>
    </row>
    <row r="87" spans="1:10" ht="12.75" x14ac:dyDescent="0.2">
      <c r="A87" s="9">
        <v>86</v>
      </c>
      <c r="B87" s="8" t="s">
        <v>88</v>
      </c>
      <c r="C87" s="8">
        <v>1</v>
      </c>
      <c r="D87" s="6">
        <v>7</v>
      </c>
      <c r="E87" s="6">
        <f t="shared" si="5"/>
        <v>7</v>
      </c>
      <c r="F87" s="6">
        <f t="shared" si="6"/>
        <v>7.2408000000000001</v>
      </c>
      <c r="G87" s="7">
        <v>10</v>
      </c>
      <c r="H87" s="6">
        <f t="shared" si="7"/>
        <v>3</v>
      </c>
      <c r="I87" s="6">
        <f t="shared" si="8"/>
        <v>2.7591999999999999</v>
      </c>
      <c r="J87" s="10">
        <f t="shared" si="9"/>
        <v>0.42857142857142855</v>
      </c>
    </row>
    <row r="88" spans="1:10" ht="12.75" x14ac:dyDescent="0.2">
      <c r="A88" s="9">
        <v>87</v>
      </c>
      <c r="B88" s="8" t="s">
        <v>89</v>
      </c>
      <c r="C88" s="8">
        <v>1</v>
      </c>
      <c r="D88" s="6">
        <v>2.69</v>
      </c>
      <c r="E88" s="6">
        <f t="shared" si="5"/>
        <v>2.69</v>
      </c>
      <c r="F88" s="6">
        <f t="shared" si="6"/>
        <v>2.7825359999999999</v>
      </c>
      <c r="G88" s="7">
        <v>3.7</v>
      </c>
      <c r="H88" s="6">
        <f t="shared" si="7"/>
        <v>1.0100000000000002</v>
      </c>
      <c r="I88" s="6">
        <f t="shared" si="8"/>
        <v>0.91746400000000028</v>
      </c>
      <c r="J88" s="10">
        <f t="shared" si="9"/>
        <v>0.37546468401486999</v>
      </c>
    </row>
    <row r="89" spans="1:10" ht="12.75" x14ac:dyDescent="0.2">
      <c r="A89" s="9">
        <v>88</v>
      </c>
      <c r="B89" s="8" t="s">
        <v>90</v>
      </c>
      <c r="C89" s="8">
        <v>1</v>
      </c>
      <c r="D89" s="6">
        <v>2.19</v>
      </c>
      <c r="E89" s="6">
        <f t="shared" si="5"/>
        <v>2.19</v>
      </c>
      <c r="F89" s="6">
        <f t="shared" si="6"/>
        <v>2.265336</v>
      </c>
      <c r="G89" s="7">
        <v>3</v>
      </c>
      <c r="H89" s="6">
        <f t="shared" si="7"/>
        <v>0.81</v>
      </c>
      <c r="I89" s="6">
        <f t="shared" si="8"/>
        <v>0.73466399999999998</v>
      </c>
      <c r="J89" s="10">
        <f t="shared" si="9"/>
        <v>0.36986301369863017</v>
      </c>
    </row>
    <row r="90" spans="1:10" ht="12.75" x14ac:dyDescent="0.2">
      <c r="A90" s="9">
        <v>89</v>
      </c>
      <c r="B90" s="8" t="s">
        <v>91</v>
      </c>
      <c r="C90" s="8">
        <v>1</v>
      </c>
      <c r="D90" s="6">
        <v>1.69</v>
      </c>
      <c r="E90" s="6">
        <f t="shared" si="5"/>
        <v>1.69</v>
      </c>
      <c r="F90" s="6">
        <f t="shared" si="6"/>
        <v>1.7481359999999999</v>
      </c>
      <c r="G90" s="7">
        <v>2.7</v>
      </c>
      <c r="H90" s="6">
        <f t="shared" si="7"/>
        <v>1.0100000000000002</v>
      </c>
      <c r="I90" s="6">
        <f t="shared" si="8"/>
        <v>0.95186400000000027</v>
      </c>
      <c r="J90" s="10">
        <f t="shared" si="9"/>
        <v>0.59763313609467472</v>
      </c>
    </row>
    <row r="91" spans="1:10" ht="12.75" x14ac:dyDescent="0.2">
      <c r="A91" s="9">
        <v>90</v>
      </c>
      <c r="B91" s="8" t="s">
        <v>92</v>
      </c>
      <c r="C91" s="8">
        <v>1</v>
      </c>
      <c r="D91" s="6">
        <v>1.99</v>
      </c>
      <c r="E91" s="6">
        <f t="shared" si="5"/>
        <v>1.99</v>
      </c>
      <c r="F91" s="6">
        <f t="shared" si="6"/>
        <v>2.0584560000000001</v>
      </c>
      <c r="G91" s="7">
        <v>3</v>
      </c>
      <c r="H91" s="6">
        <f t="shared" si="7"/>
        <v>1.01</v>
      </c>
      <c r="I91" s="6">
        <f t="shared" si="8"/>
        <v>0.94154399999999994</v>
      </c>
      <c r="J91" s="10">
        <f t="shared" si="9"/>
        <v>0.50753768844221103</v>
      </c>
    </row>
    <row r="92" spans="1:10" ht="12.75" x14ac:dyDescent="0.2">
      <c r="A92" s="9">
        <v>91</v>
      </c>
      <c r="B92" s="8" t="s">
        <v>93</v>
      </c>
      <c r="C92" s="8">
        <v>1</v>
      </c>
      <c r="D92" s="6">
        <v>1.85</v>
      </c>
      <c r="E92" s="6">
        <f t="shared" si="5"/>
        <v>1.85</v>
      </c>
      <c r="F92" s="6">
        <f t="shared" si="6"/>
        <v>1.91364</v>
      </c>
      <c r="G92" s="7">
        <v>2.8</v>
      </c>
      <c r="H92" s="6">
        <f t="shared" si="7"/>
        <v>0.94999999999999973</v>
      </c>
      <c r="I92" s="6">
        <f t="shared" si="8"/>
        <v>0.88635999999999981</v>
      </c>
      <c r="J92" s="10">
        <f t="shared" si="9"/>
        <v>0.51351351351351338</v>
      </c>
    </row>
    <row r="93" spans="1:10" ht="12.75" x14ac:dyDescent="0.2">
      <c r="A93" s="9">
        <v>92</v>
      </c>
      <c r="B93" s="8" t="s">
        <v>94</v>
      </c>
      <c r="C93" s="8">
        <v>1</v>
      </c>
      <c r="D93" s="6">
        <v>2.4500000000000002</v>
      </c>
      <c r="E93" s="6">
        <f t="shared" si="5"/>
        <v>2.4500000000000002</v>
      </c>
      <c r="F93" s="6">
        <f t="shared" si="6"/>
        <v>2.5342800000000003</v>
      </c>
      <c r="G93" s="7">
        <v>4</v>
      </c>
      <c r="H93" s="6">
        <f t="shared" si="7"/>
        <v>1.5499999999999998</v>
      </c>
      <c r="I93" s="6">
        <f t="shared" si="8"/>
        <v>1.4657199999999997</v>
      </c>
      <c r="J93" s="10">
        <f t="shared" si="9"/>
        <v>0.63265306122448972</v>
      </c>
    </row>
    <row r="94" spans="1:10" ht="12.75" x14ac:dyDescent="0.2">
      <c r="A94" s="9">
        <v>93</v>
      </c>
      <c r="B94" s="8" t="s">
        <v>95</v>
      </c>
      <c r="C94" s="8">
        <v>6</v>
      </c>
      <c r="D94" s="6">
        <v>3.58</v>
      </c>
      <c r="E94" s="6">
        <f t="shared" si="5"/>
        <v>0.59666666666666668</v>
      </c>
      <c r="F94" s="6">
        <f t="shared" si="6"/>
        <v>0.61719199999999996</v>
      </c>
      <c r="G94" s="7">
        <f>0.85</f>
        <v>0.85</v>
      </c>
      <c r="H94" s="6">
        <f t="shared" si="7"/>
        <v>0.2533333333333333</v>
      </c>
      <c r="I94" s="6">
        <f t="shared" si="8"/>
        <v>0.23280800000000001</v>
      </c>
      <c r="J94" s="10">
        <f t="shared" si="9"/>
        <v>0.42458100558659212</v>
      </c>
    </row>
    <row r="95" spans="1:10" ht="12.75" x14ac:dyDescent="0.2">
      <c r="A95" s="9">
        <v>94</v>
      </c>
      <c r="B95" s="8" t="s">
        <v>96</v>
      </c>
      <c r="C95" s="8">
        <v>1</v>
      </c>
      <c r="D95" s="6">
        <v>20.99</v>
      </c>
      <c r="E95" s="6">
        <f t="shared" si="5"/>
        <v>20.99</v>
      </c>
      <c r="F95" s="6">
        <f t="shared" si="6"/>
        <v>21.712055999999997</v>
      </c>
      <c r="G95" s="7">
        <v>25</v>
      </c>
      <c r="H95" s="6">
        <f t="shared" si="7"/>
        <v>4.0100000000000016</v>
      </c>
      <c r="I95" s="6">
        <f t="shared" si="8"/>
        <v>3.2879440000000031</v>
      </c>
      <c r="J95" s="10">
        <f t="shared" si="9"/>
        <v>0.19104335397808489</v>
      </c>
    </row>
    <row r="96" spans="1:10" ht="12.75" x14ac:dyDescent="0.2">
      <c r="A96" s="9">
        <v>95</v>
      </c>
      <c r="B96" s="8" t="s">
        <v>97</v>
      </c>
      <c r="C96" s="8">
        <v>4</v>
      </c>
      <c r="D96" s="6">
        <v>15.16</v>
      </c>
      <c r="E96" s="6">
        <f t="shared" si="5"/>
        <v>3.79</v>
      </c>
      <c r="F96" s="6">
        <f t="shared" si="6"/>
        <v>3.9203760000000001</v>
      </c>
      <c r="G96" s="7">
        <v>5</v>
      </c>
      <c r="H96" s="6">
        <f t="shared" si="7"/>
        <v>1.21</v>
      </c>
      <c r="I96" s="6">
        <f t="shared" si="8"/>
        <v>1.0796239999999999</v>
      </c>
      <c r="J96" s="10">
        <f t="shared" si="9"/>
        <v>0.31926121372031663</v>
      </c>
    </row>
    <row r="97" spans="1:10" ht="12.75" x14ac:dyDescent="0.2">
      <c r="A97" s="9">
        <v>96</v>
      </c>
      <c r="B97" s="8" t="s">
        <v>98</v>
      </c>
      <c r="C97" s="8">
        <v>1</v>
      </c>
      <c r="D97" s="6">
        <v>2.4900000000000002</v>
      </c>
      <c r="E97" s="6">
        <f t="shared" si="5"/>
        <v>2.4900000000000002</v>
      </c>
      <c r="F97" s="6">
        <f t="shared" si="6"/>
        <v>2.5756560000000004</v>
      </c>
      <c r="G97" s="7">
        <v>3.5</v>
      </c>
      <c r="H97" s="6">
        <f t="shared" si="7"/>
        <v>1.0099999999999998</v>
      </c>
      <c r="I97" s="6">
        <f t="shared" si="8"/>
        <v>0.92434399999999961</v>
      </c>
      <c r="J97" s="10">
        <f t="shared" si="9"/>
        <v>0.40562248995983924</v>
      </c>
    </row>
    <row r="98" spans="1:10" ht="12.75" x14ac:dyDescent="0.2">
      <c r="A98" s="9">
        <v>97</v>
      </c>
      <c r="B98" s="8" t="s">
        <v>99</v>
      </c>
      <c r="C98" s="8">
        <v>1</v>
      </c>
      <c r="D98" s="6">
        <v>1.99</v>
      </c>
      <c r="E98" s="6">
        <f t="shared" si="5"/>
        <v>1.99</v>
      </c>
      <c r="F98" s="6">
        <f t="shared" si="6"/>
        <v>2.0584560000000001</v>
      </c>
      <c r="G98" s="7">
        <v>3</v>
      </c>
      <c r="H98" s="6">
        <f t="shared" si="7"/>
        <v>1.01</v>
      </c>
      <c r="I98" s="6">
        <f t="shared" si="8"/>
        <v>0.94154399999999994</v>
      </c>
      <c r="J98" s="10">
        <f t="shared" si="9"/>
        <v>0.50753768844221103</v>
      </c>
    </row>
    <row r="99" spans="1:10" ht="12.75" x14ac:dyDescent="0.2">
      <c r="A99" s="9">
        <v>98</v>
      </c>
      <c r="B99" s="8" t="s">
        <v>100</v>
      </c>
      <c r="C99" s="8">
        <v>21</v>
      </c>
      <c r="D99" s="6">
        <v>17.899999999999999</v>
      </c>
      <c r="E99" s="6">
        <f t="shared" si="5"/>
        <v>0.85238095238095235</v>
      </c>
      <c r="F99" s="6">
        <f t="shared" si="6"/>
        <v>0.88170285714285712</v>
      </c>
      <c r="G99" s="7">
        <v>1.5</v>
      </c>
      <c r="H99" s="6">
        <f t="shared" si="7"/>
        <v>0.64761904761904765</v>
      </c>
      <c r="I99" s="6">
        <f t="shared" si="8"/>
        <v>0.61829714285714288</v>
      </c>
      <c r="J99" s="10">
        <f t="shared" si="9"/>
        <v>0.75977653631284925</v>
      </c>
    </row>
    <row r="100" spans="1:10" ht="12.75" x14ac:dyDescent="0.2">
      <c r="A100" s="9">
        <v>99</v>
      </c>
      <c r="B100" s="8" t="s">
        <v>101</v>
      </c>
      <c r="C100" s="8">
        <v>12</v>
      </c>
      <c r="D100" s="6">
        <v>49.95</v>
      </c>
      <c r="E100" s="6">
        <f t="shared" si="5"/>
        <v>4.1625000000000005</v>
      </c>
      <c r="F100" s="6">
        <f t="shared" si="6"/>
        <v>4.3056900000000002</v>
      </c>
      <c r="G100" s="7">
        <v>5.8</v>
      </c>
      <c r="H100" s="6">
        <f t="shared" si="7"/>
        <v>1.6374999999999993</v>
      </c>
      <c r="I100" s="6">
        <f t="shared" si="8"/>
        <v>1.4943099999999996</v>
      </c>
      <c r="J100" s="10">
        <f t="shared" si="9"/>
        <v>0.39339339339339319</v>
      </c>
    </row>
    <row r="101" spans="1:10" ht="12.75" x14ac:dyDescent="0.2">
      <c r="A101" s="9">
        <v>100</v>
      </c>
      <c r="B101" s="8" t="s">
        <v>102</v>
      </c>
      <c r="C101" s="8">
        <v>1</v>
      </c>
      <c r="D101" s="6">
        <v>2.35</v>
      </c>
      <c r="E101" s="6">
        <f t="shared" si="5"/>
        <v>2.35</v>
      </c>
      <c r="F101" s="6">
        <f t="shared" si="6"/>
        <v>2.4308399999999999</v>
      </c>
      <c r="G101" s="7">
        <v>3.9</v>
      </c>
      <c r="H101" s="6">
        <f t="shared" si="7"/>
        <v>1.5499999999999998</v>
      </c>
      <c r="I101" s="6">
        <f t="shared" si="8"/>
        <v>1.46916</v>
      </c>
      <c r="J101" s="10">
        <f t="shared" si="9"/>
        <v>0.65957446808510634</v>
      </c>
    </row>
    <row r="102" spans="1:10" ht="12.75" x14ac:dyDescent="0.2">
      <c r="A102" s="9">
        <v>101</v>
      </c>
      <c r="B102" s="8" t="s">
        <v>103</v>
      </c>
      <c r="C102" s="8">
        <v>1</v>
      </c>
      <c r="D102" s="6">
        <v>4.29</v>
      </c>
      <c r="E102" s="6">
        <f t="shared" si="5"/>
        <v>4.29</v>
      </c>
      <c r="F102" s="6">
        <f t="shared" si="6"/>
        <v>4.437576</v>
      </c>
      <c r="G102" s="7">
        <v>6</v>
      </c>
      <c r="H102" s="6">
        <f t="shared" si="7"/>
        <v>1.71</v>
      </c>
      <c r="I102" s="6">
        <f t="shared" si="8"/>
        <v>1.562424</v>
      </c>
      <c r="J102" s="10">
        <f t="shared" si="9"/>
        <v>0.39860139860139859</v>
      </c>
    </row>
    <row r="103" spans="1:10" ht="12.75" x14ac:dyDescent="0.2">
      <c r="A103" s="9">
        <v>102</v>
      </c>
      <c r="B103" s="8" t="s">
        <v>104</v>
      </c>
      <c r="C103" s="8">
        <v>1</v>
      </c>
      <c r="D103" s="6">
        <v>2.68</v>
      </c>
      <c r="E103" s="6">
        <f t="shared" si="5"/>
        <v>2.68</v>
      </c>
      <c r="F103" s="6">
        <f t="shared" si="6"/>
        <v>2.772192</v>
      </c>
      <c r="G103" s="7">
        <v>4</v>
      </c>
      <c r="H103" s="6">
        <f t="shared" si="7"/>
        <v>1.3199999999999998</v>
      </c>
      <c r="I103" s="6">
        <f t="shared" si="8"/>
        <v>1.227808</v>
      </c>
      <c r="J103" s="10">
        <f t="shared" si="9"/>
        <v>0.49253731343283574</v>
      </c>
    </row>
    <row r="104" spans="1:10" ht="12.75" x14ac:dyDescent="0.2">
      <c r="A104" s="9">
        <v>103</v>
      </c>
      <c r="B104" s="8" t="s">
        <v>105</v>
      </c>
      <c r="C104" s="8">
        <v>1</v>
      </c>
      <c r="D104" s="6">
        <v>2.68</v>
      </c>
      <c r="E104" s="6">
        <f t="shared" si="5"/>
        <v>2.68</v>
      </c>
      <c r="F104" s="6">
        <f t="shared" si="6"/>
        <v>2.772192</v>
      </c>
      <c r="G104" s="7">
        <v>4</v>
      </c>
      <c r="H104" s="6">
        <f t="shared" si="7"/>
        <v>1.3199999999999998</v>
      </c>
      <c r="I104" s="6">
        <f t="shared" si="8"/>
        <v>1.227808</v>
      </c>
      <c r="J104" s="10">
        <f t="shared" si="9"/>
        <v>0.49253731343283574</v>
      </c>
    </row>
    <row r="105" spans="1:10" ht="12.75" x14ac:dyDescent="0.2">
      <c r="A105" s="9">
        <v>104</v>
      </c>
      <c r="B105" s="8" t="s">
        <v>106</v>
      </c>
      <c r="C105" s="8">
        <v>1</v>
      </c>
      <c r="D105" s="6">
        <v>3.8</v>
      </c>
      <c r="E105" s="6">
        <f t="shared" si="5"/>
        <v>3.8</v>
      </c>
      <c r="F105" s="6">
        <f t="shared" si="6"/>
        <v>3.93072</v>
      </c>
      <c r="G105" s="7">
        <v>4.9000000000000004</v>
      </c>
      <c r="H105" s="6">
        <f t="shared" si="7"/>
        <v>1.1000000000000005</v>
      </c>
      <c r="I105" s="6">
        <f t="shared" si="8"/>
        <v>0.96928000000000036</v>
      </c>
      <c r="J105" s="10">
        <f t="shared" si="9"/>
        <v>0.28947368421052649</v>
      </c>
    </row>
    <row r="106" spans="1:10" ht="12.75" x14ac:dyDescent="0.2">
      <c r="A106" s="9">
        <v>105</v>
      </c>
      <c r="B106" s="8" t="s">
        <v>107</v>
      </c>
      <c r="C106" s="8">
        <v>1</v>
      </c>
      <c r="D106" s="6">
        <v>2.79</v>
      </c>
      <c r="E106" s="6">
        <f t="shared" si="5"/>
        <v>2.79</v>
      </c>
      <c r="F106" s="6">
        <f t="shared" si="6"/>
        <v>2.8859759999999999</v>
      </c>
      <c r="G106" s="7">
        <v>4</v>
      </c>
      <c r="H106" s="6">
        <f t="shared" si="7"/>
        <v>1.21</v>
      </c>
      <c r="I106" s="6">
        <f t="shared" si="8"/>
        <v>1.1140240000000001</v>
      </c>
      <c r="J106" s="10">
        <f t="shared" si="9"/>
        <v>0.43369175627240142</v>
      </c>
    </row>
    <row r="107" spans="1:10" ht="12.75" x14ac:dyDescent="0.2">
      <c r="A107" s="9">
        <v>106</v>
      </c>
      <c r="B107" s="8" t="s">
        <v>108</v>
      </c>
      <c r="C107" s="8">
        <v>1</v>
      </c>
      <c r="D107" s="6">
        <v>10.9</v>
      </c>
      <c r="E107" s="6">
        <f t="shared" si="5"/>
        <v>10.9</v>
      </c>
      <c r="F107" s="6">
        <f t="shared" si="6"/>
        <v>11.27496</v>
      </c>
      <c r="G107" s="7">
        <v>14.5</v>
      </c>
      <c r="H107" s="6">
        <f t="shared" si="7"/>
        <v>3.5999999999999996</v>
      </c>
      <c r="I107" s="6">
        <f t="shared" si="8"/>
        <v>3.2250399999999999</v>
      </c>
      <c r="J107" s="10">
        <f t="shared" si="9"/>
        <v>0.33027522935779813</v>
      </c>
    </row>
    <row r="108" spans="1:10" ht="12.75" x14ac:dyDescent="0.2">
      <c r="A108" s="9">
        <v>107</v>
      </c>
      <c r="B108" s="8" t="s">
        <v>109</v>
      </c>
      <c r="C108" s="8">
        <v>1</v>
      </c>
      <c r="D108" s="6">
        <v>12.4</v>
      </c>
      <c r="E108" s="6">
        <f t="shared" si="5"/>
        <v>12.4</v>
      </c>
      <c r="F108" s="6">
        <f t="shared" si="6"/>
        <v>12.826560000000001</v>
      </c>
      <c r="G108" s="7">
        <v>15</v>
      </c>
      <c r="H108" s="6">
        <f t="shared" si="7"/>
        <v>2.5999999999999996</v>
      </c>
      <c r="I108" s="6">
        <f t="shared" si="8"/>
        <v>2.1734399999999994</v>
      </c>
      <c r="J108" s="10">
        <f t="shared" si="9"/>
        <v>0.20967741935483866</v>
      </c>
    </row>
    <row r="109" spans="1:10" ht="12.75" x14ac:dyDescent="0.2">
      <c r="A109" s="9">
        <v>108</v>
      </c>
      <c r="B109" s="8" t="s">
        <v>110</v>
      </c>
      <c r="C109" s="8">
        <v>12</v>
      </c>
      <c r="D109" s="6">
        <v>57.48</v>
      </c>
      <c r="E109" s="6">
        <f t="shared" si="5"/>
        <v>4.79</v>
      </c>
      <c r="F109" s="6">
        <f t="shared" si="6"/>
        <v>4.9547759999999998</v>
      </c>
      <c r="G109" s="7">
        <v>5.6</v>
      </c>
      <c r="H109" s="6">
        <f t="shared" si="7"/>
        <v>0.80999999999999961</v>
      </c>
      <c r="I109" s="6">
        <f t="shared" si="8"/>
        <v>0.6452239999999998</v>
      </c>
      <c r="J109" s="10">
        <f t="shared" si="9"/>
        <v>0.16910229645093938</v>
      </c>
    </row>
    <row r="110" spans="1:10" ht="12.75" x14ac:dyDescent="0.2">
      <c r="A110" s="9">
        <v>109</v>
      </c>
      <c r="B110" s="8" t="s">
        <v>111</v>
      </c>
      <c r="C110" s="8">
        <v>12</v>
      </c>
      <c r="D110" s="6">
        <v>55.08</v>
      </c>
      <c r="E110" s="6">
        <f t="shared" si="5"/>
        <v>4.59</v>
      </c>
      <c r="F110" s="6">
        <f t="shared" si="6"/>
        <v>4.7478959999999999</v>
      </c>
      <c r="G110" s="7">
        <v>6</v>
      </c>
      <c r="H110" s="6">
        <f t="shared" si="7"/>
        <v>1.4100000000000001</v>
      </c>
      <c r="I110" s="6">
        <f t="shared" si="8"/>
        <v>1.2521040000000001</v>
      </c>
      <c r="J110" s="10">
        <f t="shared" si="9"/>
        <v>0.30718954248366015</v>
      </c>
    </row>
    <row r="111" spans="1:10" ht="12.75" x14ac:dyDescent="0.2">
      <c r="A111" s="9">
        <v>110</v>
      </c>
      <c r="B111" s="8" t="s">
        <v>112</v>
      </c>
      <c r="C111" s="8">
        <v>12</v>
      </c>
      <c r="D111" s="6">
        <v>56.16</v>
      </c>
      <c r="E111" s="6">
        <f t="shared" si="5"/>
        <v>4.68</v>
      </c>
      <c r="F111" s="6">
        <f t="shared" si="6"/>
        <v>4.840992</v>
      </c>
      <c r="G111" s="7">
        <v>5.9</v>
      </c>
      <c r="H111" s="6">
        <f t="shared" si="7"/>
        <v>1.2200000000000006</v>
      </c>
      <c r="I111" s="6">
        <f t="shared" si="8"/>
        <v>1.0590080000000004</v>
      </c>
      <c r="J111" s="10">
        <f t="shared" si="9"/>
        <v>0.26068376068376081</v>
      </c>
    </row>
    <row r="112" spans="1:10" ht="12.75" x14ac:dyDescent="0.2">
      <c r="A112" s="9">
        <v>111</v>
      </c>
      <c r="B112" s="8" t="s">
        <v>113</v>
      </c>
      <c r="C112" s="8">
        <v>1</v>
      </c>
      <c r="D112" s="6">
        <v>4.6900000000000004</v>
      </c>
      <c r="E112" s="6">
        <f t="shared" si="5"/>
        <v>4.6900000000000004</v>
      </c>
      <c r="F112" s="6">
        <f t="shared" si="6"/>
        <v>4.8513360000000008</v>
      </c>
      <c r="G112" s="7">
        <v>5.8</v>
      </c>
      <c r="H112" s="6">
        <f t="shared" si="7"/>
        <v>1.1099999999999994</v>
      </c>
      <c r="I112" s="6">
        <f t="shared" si="8"/>
        <v>0.94866399999999906</v>
      </c>
      <c r="J112" s="10">
        <f t="shared" si="9"/>
        <v>0.23667377398720668</v>
      </c>
    </row>
    <row r="113" spans="1:10" ht="12.75" x14ac:dyDescent="0.2">
      <c r="A113" s="9">
        <v>112</v>
      </c>
      <c r="B113" s="8" t="s">
        <v>114</v>
      </c>
      <c r="C113" s="8">
        <v>12</v>
      </c>
      <c r="D113" s="6">
        <v>56.28</v>
      </c>
      <c r="E113" s="6">
        <f t="shared" si="5"/>
        <v>4.6900000000000004</v>
      </c>
      <c r="F113" s="6">
        <f t="shared" si="6"/>
        <v>4.8513360000000008</v>
      </c>
      <c r="G113" s="7">
        <v>6</v>
      </c>
      <c r="H113" s="6">
        <f t="shared" si="7"/>
        <v>1.3099999999999996</v>
      </c>
      <c r="I113" s="6">
        <f t="shared" si="8"/>
        <v>1.1486639999999992</v>
      </c>
      <c r="J113" s="10">
        <f t="shared" si="9"/>
        <v>0.27931769722814487</v>
      </c>
    </row>
    <row r="114" spans="1:10" ht="12.75" x14ac:dyDescent="0.2">
      <c r="A114" s="9">
        <v>113</v>
      </c>
      <c r="B114" s="8" t="s">
        <v>115</v>
      </c>
      <c r="C114" s="8">
        <v>24</v>
      </c>
      <c r="D114" s="6">
        <v>15.9</v>
      </c>
      <c r="E114" s="6">
        <f t="shared" si="5"/>
        <v>0.66249999999999998</v>
      </c>
      <c r="F114" s="6">
        <f t="shared" si="6"/>
        <v>0.68528999999999995</v>
      </c>
      <c r="G114" s="7">
        <v>1</v>
      </c>
      <c r="H114" s="6">
        <f t="shared" si="7"/>
        <v>0.33750000000000002</v>
      </c>
      <c r="I114" s="6">
        <f t="shared" si="8"/>
        <v>0.31471000000000005</v>
      </c>
      <c r="J114" s="10">
        <f t="shared" si="9"/>
        <v>0.50943396226415094</v>
      </c>
    </row>
    <row r="115" spans="1:10" ht="12.75" x14ac:dyDescent="0.2">
      <c r="A115" s="9">
        <v>114</v>
      </c>
      <c r="B115" s="8" t="s">
        <v>116</v>
      </c>
      <c r="C115" s="8">
        <v>18</v>
      </c>
      <c r="D115" s="6">
        <v>41.22</v>
      </c>
      <c r="E115" s="6">
        <f t="shared" si="5"/>
        <v>2.29</v>
      </c>
      <c r="F115" s="6">
        <f t="shared" si="6"/>
        <v>2.368776</v>
      </c>
      <c r="G115" s="7">
        <v>2.5</v>
      </c>
      <c r="H115" s="6">
        <f t="shared" si="7"/>
        <v>0.20999999999999996</v>
      </c>
      <c r="I115" s="6">
        <f t="shared" si="8"/>
        <v>0.13122400000000001</v>
      </c>
      <c r="J115" s="10">
        <f t="shared" si="9"/>
        <v>9.170305676855893E-2</v>
      </c>
    </row>
    <row r="116" spans="1:10" ht="12.75" x14ac:dyDescent="0.2">
      <c r="A116" s="9">
        <v>115</v>
      </c>
      <c r="B116" s="8" t="s">
        <v>117</v>
      </c>
      <c r="C116" s="8">
        <v>1</v>
      </c>
      <c r="D116" s="6">
        <v>3.25</v>
      </c>
      <c r="E116" s="6">
        <f t="shared" si="5"/>
        <v>3.25</v>
      </c>
      <c r="F116" s="6">
        <f t="shared" si="6"/>
        <v>3.3618000000000001</v>
      </c>
      <c r="G116" s="7">
        <v>4.5</v>
      </c>
      <c r="H116" s="6">
        <f t="shared" si="7"/>
        <v>1.25</v>
      </c>
      <c r="I116" s="6">
        <f t="shared" si="8"/>
        <v>1.1381999999999999</v>
      </c>
      <c r="J116" s="10">
        <f t="shared" si="9"/>
        <v>0.38461538461538464</v>
      </c>
    </row>
    <row r="117" spans="1:10" ht="12.75" x14ac:dyDescent="0.2">
      <c r="A117" s="9">
        <v>116</v>
      </c>
      <c r="B117" s="8" t="s">
        <v>118</v>
      </c>
      <c r="C117" s="8">
        <v>1</v>
      </c>
      <c r="D117" s="6">
        <v>2.2000000000000002</v>
      </c>
      <c r="E117" s="6">
        <f t="shared" si="5"/>
        <v>2.2000000000000002</v>
      </c>
      <c r="F117" s="6">
        <f t="shared" si="6"/>
        <v>2.2756800000000004</v>
      </c>
      <c r="G117" s="7">
        <v>3</v>
      </c>
      <c r="H117" s="6">
        <f t="shared" si="7"/>
        <v>0.79999999999999982</v>
      </c>
      <c r="I117" s="6">
        <f t="shared" si="8"/>
        <v>0.72431999999999963</v>
      </c>
      <c r="J117" s="10">
        <f t="shared" si="9"/>
        <v>0.36363636363636354</v>
      </c>
    </row>
    <row r="118" spans="1:10" ht="12.75" x14ac:dyDescent="0.2">
      <c r="A118" s="9">
        <v>117</v>
      </c>
      <c r="B118" s="8" t="s">
        <v>119</v>
      </c>
      <c r="C118" s="8">
        <v>3</v>
      </c>
      <c r="D118" s="6">
        <v>8.9700000000000006</v>
      </c>
      <c r="E118" s="6">
        <f t="shared" si="5"/>
        <v>2.99</v>
      </c>
      <c r="F118" s="6">
        <f t="shared" si="6"/>
        <v>3.0928560000000003</v>
      </c>
      <c r="G118" s="7">
        <v>3.9</v>
      </c>
      <c r="H118" s="6">
        <f t="shared" si="7"/>
        <v>0.9099999999999997</v>
      </c>
      <c r="I118" s="6">
        <f t="shared" si="8"/>
        <v>0.80714399999999964</v>
      </c>
      <c r="J118" s="10">
        <f t="shared" si="9"/>
        <v>0.30434782608695637</v>
      </c>
    </row>
    <row r="119" spans="1:10" ht="12.75" x14ac:dyDescent="0.2">
      <c r="A119" s="9">
        <v>118</v>
      </c>
      <c r="B119" s="8" t="s">
        <v>120</v>
      </c>
      <c r="C119" s="8">
        <v>1</v>
      </c>
      <c r="D119" s="6">
        <v>3.05</v>
      </c>
      <c r="E119" s="6">
        <f t="shared" si="5"/>
        <v>3.05</v>
      </c>
      <c r="F119" s="6">
        <f t="shared" si="6"/>
        <v>3.1549199999999997</v>
      </c>
      <c r="G119" s="7">
        <v>4.0999999999999996</v>
      </c>
      <c r="H119" s="6">
        <f t="shared" si="7"/>
        <v>1.0499999999999998</v>
      </c>
      <c r="I119" s="6">
        <f t="shared" si="8"/>
        <v>0.94507999999999992</v>
      </c>
      <c r="J119" s="10">
        <f t="shared" si="9"/>
        <v>0.34426229508196715</v>
      </c>
    </row>
    <row r="120" spans="1:10" ht="12.75" x14ac:dyDescent="0.2">
      <c r="A120" s="9">
        <v>119</v>
      </c>
      <c r="B120" s="8" t="s">
        <v>121</v>
      </c>
      <c r="C120" s="8">
        <v>1</v>
      </c>
      <c r="D120" s="6">
        <v>2.75</v>
      </c>
      <c r="E120" s="6">
        <f t="shared" si="5"/>
        <v>2.75</v>
      </c>
      <c r="F120" s="6">
        <f t="shared" si="6"/>
        <v>2.8445999999999998</v>
      </c>
      <c r="G120" s="7">
        <v>3.5</v>
      </c>
      <c r="H120" s="6">
        <f t="shared" si="7"/>
        <v>0.75</v>
      </c>
      <c r="I120" s="6">
        <f t="shared" si="8"/>
        <v>0.6554000000000002</v>
      </c>
      <c r="J120" s="10">
        <f t="shared" si="9"/>
        <v>0.27272727272727271</v>
      </c>
    </row>
    <row r="121" spans="1:10" ht="12.75" x14ac:dyDescent="0.2">
      <c r="A121" s="9">
        <v>120</v>
      </c>
      <c r="B121" s="8" t="s">
        <v>122</v>
      </c>
      <c r="C121" s="8">
        <v>1</v>
      </c>
      <c r="D121" s="6">
        <v>1.79</v>
      </c>
      <c r="E121" s="6">
        <f t="shared" si="5"/>
        <v>1.79</v>
      </c>
      <c r="F121" s="6">
        <f t="shared" si="6"/>
        <v>1.8515760000000001</v>
      </c>
      <c r="G121" s="7">
        <v>2.5</v>
      </c>
      <c r="H121" s="6">
        <f t="shared" si="7"/>
        <v>0.71</v>
      </c>
      <c r="I121" s="6">
        <f t="shared" si="8"/>
        <v>0.64842399999999989</v>
      </c>
      <c r="J121" s="10">
        <f t="shared" si="9"/>
        <v>0.3966480446927374</v>
      </c>
    </row>
    <row r="122" spans="1:10" ht="12.75" x14ac:dyDescent="0.2">
      <c r="A122" s="9">
        <v>121</v>
      </c>
      <c r="B122" s="8" t="s">
        <v>123</v>
      </c>
      <c r="C122" s="8">
        <v>1</v>
      </c>
      <c r="D122" s="6">
        <v>4.5</v>
      </c>
      <c r="E122" s="6">
        <f t="shared" si="5"/>
        <v>4.5</v>
      </c>
      <c r="F122" s="6">
        <f t="shared" si="6"/>
        <v>4.6547999999999998</v>
      </c>
      <c r="G122" s="7">
        <v>5.7</v>
      </c>
      <c r="H122" s="6">
        <f t="shared" si="7"/>
        <v>1.2000000000000002</v>
      </c>
      <c r="I122" s="6">
        <f t="shared" si="8"/>
        <v>1.0452000000000004</v>
      </c>
      <c r="J122" s="10">
        <f t="shared" si="9"/>
        <v>0.26666666666666672</v>
      </c>
    </row>
    <row r="123" spans="1:10" ht="12.75" x14ac:dyDescent="0.2">
      <c r="A123" s="9">
        <v>122</v>
      </c>
      <c r="B123" s="8" t="s">
        <v>124</v>
      </c>
      <c r="C123" s="8">
        <v>1</v>
      </c>
      <c r="D123" s="6">
        <v>2.4900000000000002</v>
      </c>
      <c r="E123" s="6">
        <f t="shared" si="5"/>
        <v>2.4900000000000002</v>
      </c>
      <c r="F123" s="6">
        <f t="shared" si="6"/>
        <v>2.5756560000000004</v>
      </c>
      <c r="G123" s="7">
        <v>3.5</v>
      </c>
      <c r="H123" s="6">
        <f t="shared" si="7"/>
        <v>1.0099999999999998</v>
      </c>
      <c r="I123" s="6">
        <f t="shared" si="8"/>
        <v>0.92434399999999961</v>
      </c>
      <c r="J123" s="10">
        <f t="shared" si="9"/>
        <v>0.40562248995983924</v>
      </c>
    </row>
    <row r="124" spans="1:10" ht="12.75" x14ac:dyDescent="0.2">
      <c r="A124" s="9">
        <v>123</v>
      </c>
      <c r="B124" s="8" t="s">
        <v>125</v>
      </c>
      <c r="C124" s="8">
        <v>1</v>
      </c>
      <c r="D124" s="6">
        <v>6.95</v>
      </c>
      <c r="E124" s="6">
        <f t="shared" si="5"/>
        <v>6.95</v>
      </c>
      <c r="F124" s="6">
        <f t="shared" si="6"/>
        <v>7.1890800000000006</v>
      </c>
      <c r="G124" s="7">
        <v>12</v>
      </c>
      <c r="H124" s="6">
        <f t="shared" si="7"/>
        <v>5.05</v>
      </c>
      <c r="I124" s="6">
        <f t="shared" si="8"/>
        <v>4.8109199999999994</v>
      </c>
      <c r="J124" s="10">
        <f t="shared" si="9"/>
        <v>0.72661870503597115</v>
      </c>
    </row>
    <row r="125" spans="1:10" ht="12.75" x14ac:dyDescent="0.2">
      <c r="A125" s="9">
        <v>124</v>
      </c>
      <c r="B125" s="8" t="s">
        <v>126</v>
      </c>
      <c r="C125" s="8">
        <v>1</v>
      </c>
      <c r="D125" s="6">
        <v>9.35</v>
      </c>
      <c r="E125" s="6">
        <f t="shared" si="5"/>
        <v>9.35</v>
      </c>
      <c r="F125" s="6">
        <f t="shared" si="6"/>
        <v>9.67164</v>
      </c>
      <c r="G125" s="7">
        <v>15</v>
      </c>
      <c r="H125" s="6">
        <f t="shared" si="7"/>
        <v>5.65</v>
      </c>
      <c r="I125" s="6">
        <f t="shared" si="8"/>
        <v>5.32836</v>
      </c>
      <c r="J125" s="10">
        <f t="shared" si="9"/>
        <v>0.60427807486631024</v>
      </c>
    </row>
    <row r="126" spans="1:10" ht="12.75" x14ac:dyDescent="0.2">
      <c r="A126" s="9">
        <v>125</v>
      </c>
      <c r="B126" s="8" t="s">
        <v>127</v>
      </c>
      <c r="C126" s="8">
        <v>1</v>
      </c>
      <c r="D126" s="6">
        <v>3.95</v>
      </c>
      <c r="E126" s="6">
        <f t="shared" si="5"/>
        <v>3.95</v>
      </c>
      <c r="F126" s="6">
        <f t="shared" si="6"/>
        <v>4.0858800000000004</v>
      </c>
      <c r="G126" s="7">
        <v>5</v>
      </c>
      <c r="H126" s="6">
        <f t="shared" si="7"/>
        <v>1.0499999999999998</v>
      </c>
      <c r="I126" s="6">
        <f t="shared" si="8"/>
        <v>0.9141199999999996</v>
      </c>
      <c r="J126" s="10">
        <f t="shared" si="9"/>
        <v>0.2658227848101265</v>
      </c>
    </row>
    <row r="127" spans="1:10" ht="12.75" x14ac:dyDescent="0.2">
      <c r="A127" s="9">
        <v>126</v>
      </c>
      <c r="B127" s="8" t="s">
        <v>128</v>
      </c>
      <c r="C127" s="8">
        <v>1</v>
      </c>
      <c r="D127" s="6">
        <v>3.45</v>
      </c>
      <c r="E127" s="6">
        <f t="shared" si="5"/>
        <v>3.45</v>
      </c>
      <c r="F127" s="6">
        <f t="shared" si="6"/>
        <v>3.5686800000000001</v>
      </c>
      <c r="G127" s="7">
        <v>5</v>
      </c>
      <c r="H127" s="6">
        <f t="shared" si="7"/>
        <v>1.5499999999999998</v>
      </c>
      <c r="I127" s="6">
        <f t="shared" si="8"/>
        <v>1.4313199999999999</v>
      </c>
      <c r="J127" s="10">
        <f t="shared" si="9"/>
        <v>0.44927536231884052</v>
      </c>
    </row>
    <row r="128" spans="1:10" ht="12.75" x14ac:dyDescent="0.2">
      <c r="A128" s="9">
        <v>127</v>
      </c>
      <c r="B128" s="8" t="s">
        <v>129</v>
      </c>
      <c r="C128" s="8">
        <v>1</v>
      </c>
      <c r="D128" s="6">
        <v>4.49</v>
      </c>
      <c r="E128" s="6">
        <f t="shared" si="5"/>
        <v>4.49</v>
      </c>
      <c r="F128" s="6">
        <f t="shared" si="6"/>
        <v>4.6444559999999999</v>
      </c>
      <c r="G128" s="7">
        <v>5.5</v>
      </c>
      <c r="H128" s="6">
        <f t="shared" si="7"/>
        <v>1.0099999999999998</v>
      </c>
      <c r="I128" s="6">
        <f t="shared" si="8"/>
        <v>0.85554400000000008</v>
      </c>
      <c r="J128" s="10">
        <f t="shared" si="9"/>
        <v>0.22494432071269482</v>
      </c>
    </row>
    <row r="129" spans="1:10" ht="12.75" x14ac:dyDescent="0.2">
      <c r="A129" s="9">
        <v>128</v>
      </c>
      <c r="B129" s="8" t="s">
        <v>130</v>
      </c>
      <c r="C129" s="8">
        <v>1</v>
      </c>
      <c r="D129" s="6">
        <v>5.89</v>
      </c>
      <c r="E129" s="6">
        <f t="shared" si="5"/>
        <v>5.89</v>
      </c>
      <c r="F129" s="6">
        <f t="shared" si="6"/>
        <v>6.0926159999999996</v>
      </c>
      <c r="G129" s="7">
        <v>8</v>
      </c>
      <c r="H129" s="6">
        <f t="shared" si="7"/>
        <v>2.1100000000000003</v>
      </c>
      <c r="I129" s="6">
        <f t="shared" si="8"/>
        <v>1.9073840000000004</v>
      </c>
      <c r="J129" s="10">
        <f t="shared" si="9"/>
        <v>0.3582342954159593</v>
      </c>
    </row>
    <row r="130" spans="1:10" ht="12.75" x14ac:dyDescent="0.2">
      <c r="A130" s="9">
        <v>129</v>
      </c>
      <c r="B130" s="8" t="s">
        <v>131</v>
      </c>
      <c r="C130" s="8">
        <v>1</v>
      </c>
      <c r="D130" s="6">
        <v>4.1900000000000004</v>
      </c>
      <c r="E130" s="6">
        <f t="shared" ref="E130:E193" si="10">D130/C130</f>
        <v>4.1900000000000004</v>
      </c>
      <c r="F130" s="6">
        <f t="shared" si="6"/>
        <v>4.334136</v>
      </c>
      <c r="G130" s="7">
        <v>6</v>
      </c>
      <c r="H130" s="6">
        <f t="shared" si="7"/>
        <v>1.8099999999999996</v>
      </c>
      <c r="I130" s="6">
        <f t="shared" si="8"/>
        <v>1.665864</v>
      </c>
      <c r="J130" s="10">
        <f t="shared" si="9"/>
        <v>0.43198090692124091</v>
      </c>
    </row>
    <row r="131" spans="1:10" ht="12.75" x14ac:dyDescent="0.2">
      <c r="A131" s="9">
        <v>130</v>
      </c>
      <c r="B131" s="8" t="s">
        <v>132</v>
      </c>
      <c r="C131" s="8">
        <v>1</v>
      </c>
      <c r="D131" s="6">
        <v>6.89</v>
      </c>
      <c r="E131" s="6">
        <f t="shared" si="10"/>
        <v>6.89</v>
      </c>
      <c r="F131" s="6">
        <f t="shared" ref="F131:F194" si="11">E131+(E131*3.44%)</f>
        <v>7.1270159999999994</v>
      </c>
      <c r="G131" s="7">
        <v>8</v>
      </c>
      <c r="H131" s="6">
        <f t="shared" ref="H131:H194" si="12">G131-E131</f>
        <v>1.1100000000000003</v>
      </c>
      <c r="I131" s="6">
        <f t="shared" ref="I131:I194" si="13">G131-F131</f>
        <v>0.87298400000000065</v>
      </c>
      <c r="J131" s="10">
        <f t="shared" ref="J131:J194" si="14">H131/E131</f>
        <v>0.16110304789550078</v>
      </c>
    </row>
    <row r="132" spans="1:10" ht="12.75" x14ac:dyDescent="0.2">
      <c r="A132" s="9">
        <v>131</v>
      </c>
      <c r="B132" s="8" t="s">
        <v>133</v>
      </c>
      <c r="C132" s="8">
        <v>1</v>
      </c>
      <c r="D132" s="6">
        <v>5.69</v>
      </c>
      <c r="E132" s="6">
        <f t="shared" si="10"/>
        <v>5.69</v>
      </c>
      <c r="F132" s="6">
        <f t="shared" si="11"/>
        <v>5.8857360000000005</v>
      </c>
      <c r="G132" s="7">
        <v>8</v>
      </c>
      <c r="H132" s="6">
        <f t="shared" si="12"/>
        <v>2.3099999999999996</v>
      </c>
      <c r="I132" s="6">
        <f t="shared" si="13"/>
        <v>2.1142639999999995</v>
      </c>
      <c r="J132" s="10">
        <f t="shared" si="14"/>
        <v>0.40597539543057987</v>
      </c>
    </row>
    <row r="133" spans="1:10" ht="12.75" x14ac:dyDescent="0.2">
      <c r="A133" s="9">
        <v>132</v>
      </c>
      <c r="B133" s="8" t="s">
        <v>134</v>
      </c>
      <c r="C133" s="8">
        <v>1</v>
      </c>
      <c r="D133" s="6">
        <v>5.79</v>
      </c>
      <c r="E133" s="6">
        <f t="shared" si="10"/>
        <v>5.79</v>
      </c>
      <c r="F133" s="6">
        <f t="shared" si="11"/>
        <v>5.9891759999999996</v>
      </c>
      <c r="G133" s="7">
        <v>7.5</v>
      </c>
      <c r="H133" s="6">
        <f t="shared" si="12"/>
        <v>1.71</v>
      </c>
      <c r="I133" s="6">
        <f t="shared" si="13"/>
        <v>1.5108240000000004</v>
      </c>
      <c r="J133" s="10">
        <f t="shared" si="14"/>
        <v>0.29533678756476683</v>
      </c>
    </row>
    <row r="134" spans="1:10" ht="12.75" x14ac:dyDescent="0.2">
      <c r="A134" s="9">
        <v>133</v>
      </c>
      <c r="B134" s="8" t="s">
        <v>135</v>
      </c>
      <c r="C134" s="8">
        <v>1</v>
      </c>
      <c r="D134" s="6">
        <v>4.99</v>
      </c>
      <c r="E134" s="6">
        <f t="shared" si="10"/>
        <v>4.99</v>
      </c>
      <c r="F134" s="6">
        <f t="shared" si="11"/>
        <v>5.1616559999999998</v>
      </c>
      <c r="G134" s="7">
        <v>7</v>
      </c>
      <c r="H134" s="6">
        <f t="shared" si="12"/>
        <v>2.0099999999999998</v>
      </c>
      <c r="I134" s="6">
        <f t="shared" si="13"/>
        <v>1.8383440000000002</v>
      </c>
      <c r="J134" s="10">
        <f t="shared" si="14"/>
        <v>0.40280561122244485</v>
      </c>
    </row>
    <row r="135" spans="1:10" ht="12.75" x14ac:dyDescent="0.2">
      <c r="A135" s="9">
        <v>134</v>
      </c>
      <c r="B135" s="8" t="s">
        <v>136</v>
      </c>
      <c r="C135" s="8">
        <v>15</v>
      </c>
      <c r="D135" s="6">
        <v>15</v>
      </c>
      <c r="E135" s="6">
        <f t="shared" si="10"/>
        <v>1</v>
      </c>
      <c r="F135" s="6">
        <f t="shared" si="11"/>
        <v>1.0344</v>
      </c>
      <c r="G135" s="7">
        <v>2</v>
      </c>
      <c r="H135" s="6">
        <f t="shared" si="12"/>
        <v>1</v>
      </c>
      <c r="I135" s="6">
        <f t="shared" si="13"/>
        <v>0.96560000000000001</v>
      </c>
      <c r="J135" s="10">
        <f t="shared" si="14"/>
        <v>1</v>
      </c>
    </row>
    <row r="136" spans="1:10" ht="12.75" x14ac:dyDescent="0.2">
      <c r="A136" s="9">
        <v>135</v>
      </c>
      <c r="B136" s="8" t="s">
        <v>137</v>
      </c>
      <c r="C136" s="8">
        <v>16</v>
      </c>
      <c r="D136" s="6">
        <v>15.5</v>
      </c>
      <c r="E136" s="6">
        <f t="shared" si="10"/>
        <v>0.96875</v>
      </c>
      <c r="F136" s="6">
        <f t="shared" si="11"/>
        <v>1.002075</v>
      </c>
      <c r="G136" s="7">
        <v>1.5</v>
      </c>
      <c r="H136" s="6">
        <f t="shared" si="12"/>
        <v>0.53125</v>
      </c>
      <c r="I136" s="6">
        <f t="shared" si="13"/>
        <v>0.49792499999999995</v>
      </c>
      <c r="J136" s="10">
        <f t="shared" si="14"/>
        <v>0.54838709677419351</v>
      </c>
    </row>
    <row r="137" spans="1:10" ht="12.75" x14ac:dyDescent="0.2">
      <c r="A137" s="9">
        <v>136</v>
      </c>
      <c r="B137" s="8" t="s">
        <v>138</v>
      </c>
      <c r="C137" s="8">
        <v>1</v>
      </c>
      <c r="D137" s="6">
        <v>2.79</v>
      </c>
      <c r="E137" s="6">
        <f t="shared" si="10"/>
        <v>2.79</v>
      </c>
      <c r="F137" s="6">
        <f t="shared" si="11"/>
        <v>2.8859759999999999</v>
      </c>
      <c r="G137" s="7">
        <v>4</v>
      </c>
      <c r="H137" s="6">
        <f t="shared" si="12"/>
        <v>1.21</v>
      </c>
      <c r="I137" s="6">
        <f t="shared" si="13"/>
        <v>1.1140240000000001</v>
      </c>
      <c r="J137" s="10">
        <f t="shared" si="14"/>
        <v>0.43369175627240142</v>
      </c>
    </row>
    <row r="138" spans="1:10" ht="12.75" x14ac:dyDescent="0.2">
      <c r="A138" s="9">
        <v>137</v>
      </c>
      <c r="B138" s="8" t="s">
        <v>139</v>
      </c>
      <c r="C138" s="8">
        <v>1</v>
      </c>
      <c r="D138" s="6">
        <v>1.1000000000000001</v>
      </c>
      <c r="E138" s="6">
        <f t="shared" si="10"/>
        <v>1.1000000000000001</v>
      </c>
      <c r="F138" s="6">
        <f t="shared" si="11"/>
        <v>1.1378400000000002</v>
      </c>
      <c r="G138" s="7">
        <v>2.15</v>
      </c>
      <c r="H138" s="6">
        <f t="shared" si="12"/>
        <v>1.0499999999999998</v>
      </c>
      <c r="I138" s="6">
        <f t="shared" si="13"/>
        <v>1.0121599999999997</v>
      </c>
      <c r="J138" s="10">
        <f t="shared" si="14"/>
        <v>0.95454545454545425</v>
      </c>
    </row>
    <row r="139" spans="1:10" ht="12.75" x14ac:dyDescent="0.2">
      <c r="A139" s="9">
        <v>138</v>
      </c>
      <c r="B139" s="8" t="s">
        <v>140</v>
      </c>
      <c r="C139" s="8">
        <v>1</v>
      </c>
      <c r="D139" s="6">
        <v>0.99</v>
      </c>
      <c r="E139" s="6">
        <f t="shared" si="10"/>
        <v>0.99</v>
      </c>
      <c r="F139" s="6">
        <f t="shared" si="11"/>
        <v>1.0240560000000001</v>
      </c>
      <c r="G139" s="7">
        <v>1.6</v>
      </c>
      <c r="H139" s="6">
        <f t="shared" si="12"/>
        <v>0.6100000000000001</v>
      </c>
      <c r="I139" s="6">
        <f t="shared" si="13"/>
        <v>0.57594400000000001</v>
      </c>
      <c r="J139" s="10">
        <f t="shared" si="14"/>
        <v>0.61616161616161624</v>
      </c>
    </row>
    <row r="140" spans="1:10" ht="12.75" x14ac:dyDescent="0.2">
      <c r="A140" s="9">
        <v>139</v>
      </c>
      <c r="B140" s="8" t="s">
        <v>141</v>
      </c>
      <c r="C140" s="8">
        <v>1</v>
      </c>
      <c r="D140" s="6">
        <v>1.1499999999999999</v>
      </c>
      <c r="E140" s="6">
        <f t="shared" si="10"/>
        <v>1.1499999999999999</v>
      </c>
      <c r="F140" s="6">
        <f t="shared" si="11"/>
        <v>1.18956</v>
      </c>
      <c r="G140" s="7">
        <v>2.15</v>
      </c>
      <c r="H140" s="6">
        <f t="shared" si="12"/>
        <v>1</v>
      </c>
      <c r="I140" s="6">
        <f t="shared" si="13"/>
        <v>0.96043999999999996</v>
      </c>
      <c r="J140" s="10">
        <f t="shared" si="14"/>
        <v>0.86956521739130443</v>
      </c>
    </row>
    <row r="141" spans="1:10" ht="12.75" x14ac:dyDescent="0.2">
      <c r="A141" s="9">
        <v>140</v>
      </c>
      <c r="B141" s="8" t="s">
        <v>142</v>
      </c>
      <c r="C141" s="8">
        <v>1</v>
      </c>
      <c r="D141" s="6">
        <v>1.59</v>
      </c>
      <c r="E141" s="6">
        <f t="shared" si="10"/>
        <v>1.59</v>
      </c>
      <c r="F141" s="6">
        <f t="shared" si="11"/>
        <v>1.6446960000000002</v>
      </c>
      <c r="G141" s="7">
        <v>2.5</v>
      </c>
      <c r="H141" s="6">
        <f t="shared" si="12"/>
        <v>0.90999999999999992</v>
      </c>
      <c r="I141" s="6">
        <f t="shared" si="13"/>
        <v>0.85530399999999984</v>
      </c>
      <c r="J141" s="10">
        <f t="shared" si="14"/>
        <v>0.57232704402515711</v>
      </c>
    </row>
    <row r="142" spans="1:10" ht="12.75" x14ac:dyDescent="0.2">
      <c r="A142" s="9">
        <v>141</v>
      </c>
      <c r="B142" s="8" t="s">
        <v>143</v>
      </c>
      <c r="C142" s="8">
        <v>1</v>
      </c>
      <c r="D142" s="6">
        <v>1.49</v>
      </c>
      <c r="E142" s="6">
        <f t="shared" si="10"/>
        <v>1.49</v>
      </c>
      <c r="F142" s="6">
        <f t="shared" si="11"/>
        <v>1.541256</v>
      </c>
      <c r="G142" s="7">
        <v>2.6</v>
      </c>
      <c r="H142" s="6">
        <f t="shared" si="12"/>
        <v>1.1100000000000001</v>
      </c>
      <c r="I142" s="6">
        <f t="shared" si="13"/>
        <v>1.0587440000000001</v>
      </c>
      <c r="J142" s="10">
        <f t="shared" si="14"/>
        <v>0.74496644295302017</v>
      </c>
    </row>
    <row r="143" spans="1:10" ht="12.75" x14ac:dyDescent="0.2">
      <c r="A143" s="9">
        <v>142</v>
      </c>
      <c r="B143" s="8" t="s">
        <v>144</v>
      </c>
      <c r="C143" s="8">
        <v>1</v>
      </c>
      <c r="D143" s="6">
        <v>1.35</v>
      </c>
      <c r="E143" s="6">
        <f t="shared" si="10"/>
        <v>1.35</v>
      </c>
      <c r="F143" s="6">
        <f t="shared" si="11"/>
        <v>1.3964400000000001</v>
      </c>
      <c r="G143" s="7">
        <v>2.2999999999999998</v>
      </c>
      <c r="H143" s="6">
        <f t="shared" si="12"/>
        <v>0.94999999999999973</v>
      </c>
      <c r="I143" s="6">
        <f t="shared" si="13"/>
        <v>0.9035599999999997</v>
      </c>
      <c r="J143" s="10">
        <f t="shared" si="14"/>
        <v>0.7037037037037035</v>
      </c>
    </row>
    <row r="144" spans="1:10" ht="12.75" x14ac:dyDescent="0.2">
      <c r="A144" s="9">
        <v>143</v>
      </c>
      <c r="B144" s="8" t="s">
        <v>145</v>
      </c>
      <c r="C144" s="8">
        <v>1</v>
      </c>
      <c r="D144" s="6">
        <v>1.55</v>
      </c>
      <c r="E144" s="6">
        <f t="shared" si="10"/>
        <v>1.55</v>
      </c>
      <c r="F144" s="6">
        <f t="shared" si="11"/>
        <v>1.6033200000000001</v>
      </c>
      <c r="G144" s="7">
        <v>2.6</v>
      </c>
      <c r="H144" s="6">
        <f t="shared" si="12"/>
        <v>1.05</v>
      </c>
      <c r="I144" s="6">
        <f t="shared" si="13"/>
        <v>0.99668000000000001</v>
      </c>
      <c r="J144" s="10">
        <f t="shared" si="14"/>
        <v>0.67741935483870974</v>
      </c>
    </row>
    <row r="145" spans="1:10" ht="12.75" x14ac:dyDescent="0.2">
      <c r="A145" s="9">
        <v>144</v>
      </c>
      <c r="B145" s="8" t="s">
        <v>146</v>
      </c>
      <c r="C145" s="8">
        <v>1</v>
      </c>
      <c r="D145" s="6">
        <v>1.19</v>
      </c>
      <c r="E145" s="6">
        <f t="shared" si="10"/>
        <v>1.19</v>
      </c>
      <c r="F145" s="6">
        <f t="shared" si="11"/>
        <v>1.230936</v>
      </c>
      <c r="G145" s="7">
        <v>2.2999999999999998</v>
      </c>
      <c r="H145" s="6">
        <f t="shared" si="12"/>
        <v>1.1099999999999999</v>
      </c>
      <c r="I145" s="6">
        <f t="shared" si="13"/>
        <v>1.0690639999999998</v>
      </c>
      <c r="J145" s="10">
        <f t="shared" si="14"/>
        <v>0.93277310924369738</v>
      </c>
    </row>
    <row r="146" spans="1:10" ht="12.75" x14ac:dyDescent="0.2">
      <c r="A146" s="9">
        <v>145</v>
      </c>
      <c r="B146" s="8" t="s">
        <v>147</v>
      </c>
      <c r="C146" s="8">
        <v>1</v>
      </c>
      <c r="D146" s="6">
        <v>1.23</v>
      </c>
      <c r="E146" s="6">
        <f t="shared" si="10"/>
        <v>1.23</v>
      </c>
      <c r="F146" s="6">
        <f t="shared" si="11"/>
        <v>1.2723119999999999</v>
      </c>
      <c r="G146" s="7">
        <v>2.4</v>
      </c>
      <c r="H146" s="6">
        <f t="shared" si="12"/>
        <v>1.17</v>
      </c>
      <c r="I146" s="6">
        <f t="shared" si="13"/>
        <v>1.127688</v>
      </c>
      <c r="J146" s="10">
        <f t="shared" si="14"/>
        <v>0.95121951219512191</v>
      </c>
    </row>
    <row r="147" spans="1:10" ht="12.75" x14ac:dyDescent="0.2">
      <c r="A147" s="9">
        <v>146</v>
      </c>
      <c r="B147" s="8" t="s">
        <v>148</v>
      </c>
      <c r="C147" s="8">
        <v>1</v>
      </c>
      <c r="D147" s="6">
        <v>1.1599999999999999</v>
      </c>
      <c r="E147" s="6">
        <f t="shared" si="10"/>
        <v>1.1599999999999999</v>
      </c>
      <c r="F147" s="6">
        <f t="shared" si="11"/>
        <v>1.1999039999999999</v>
      </c>
      <c r="G147" s="7">
        <v>2.4</v>
      </c>
      <c r="H147" s="6">
        <f t="shared" si="12"/>
        <v>1.24</v>
      </c>
      <c r="I147" s="6">
        <f t="shared" si="13"/>
        <v>1.2000960000000001</v>
      </c>
      <c r="J147" s="10">
        <f t="shared" si="14"/>
        <v>1.0689655172413794</v>
      </c>
    </row>
    <row r="148" spans="1:10" ht="12.75" x14ac:dyDescent="0.2">
      <c r="A148" s="9">
        <v>147</v>
      </c>
      <c r="B148" s="8" t="s">
        <v>149</v>
      </c>
      <c r="C148" s="8">
        <v>1</v>
      </c>
      <c r="D148" s="6">
        <v>12.28</v>
      </c>
      <c r="E148" s="6">
        <f t="shared" si="10"/>
        <v>12.28</v>
      </c>
      <c r="F148" s="6">
        <f t="shared" si="11"/>
        <v>12.702432</v>
      </c>
      <c r="G148" s="7">
        <v>15</v>
      </c>
      <c r="H148" s="6">
        <f t="shared" si="12"/>
        <v>2.7200000000000006</v>
      </c>
      <c r="I148" s="6">
        <f t="shared" si="13"/>
        <v>2.2975680000000001</v>
      </c>
      <c r="J148" s="10">
        <f t="shared" si="14"/>
        <v>0.22149837133550496</v>
      </c>
    </row>
    <row r="149" spans="1:10" ht="12.75" x14ac:dyDescent="0.2">
      <c r="A149" s="9">
        <v>148</v>
      </c>
      <c r="B149" s="8" t="s">
        <v>153</v>
      </c>
      <c r="C149" s="8">
        <v>1</v>
      </c>
      <c r="D149" s="6">
        <v>9.7899999999999991</v>
      </c>
      <c r="E149" s="6">
        <f t="shared" si="10"/>
        <v>9.7899999999999991</v>
      </c>
      <c r="F149" s="6">
        <f t="shared" si="11"/>
        <v>10.126776</v>
      </c>
      <c r="G149" s="7">
        <v>11</v>
      </c>
      <c r="H149" s="6">
        <f t="shared" si="12"/>
        <v>1.2100000000000009</v>
      </c>
      <c r="I149" s="6">
        <f t="shared" si="13"/>
        <v>0.87322400000000044</v>
      </c>
      <c r="J149" s="10">
        <f t="shared" si="14"/>
        <v>0.12359550561797762</v>
      </c>
    </row>
    <row r="150" spans="1:10" ht="12.75" x14ac:dyDescent="0.2">
      <c r="A150" s="9">
        <v>149</v>
      </c>
      <c r="B150" s="8" t="s">
        <v>154</v>
      </c>
      <c r="C150" s="8">
        <v>1</v>
      </c>
      <c r="D150" s="6">
        <v>8.85</v>
      </c>
      <c r="E150" s="6">
        <f t="shared" si="10"/>
        <v>8.85</v>
      </c>
      <c r="F150" s="6">
        <f t="shared" si="11"/>
        <v>9.1544399999999992</v>
      </c>
      <c r="G150" s="7">
        <v>9.9499999999999993</v>
      </c>
      <c r="H150" s="6">
        <f t="shared" si="12"/>
        <v>1.0999999999999996</v>
      </c>
      <c r="I150" s="6">
        <f t="shared" si="13"/>
        <v>0.79556000000000004</v>
      </c>
      <c r="J150" s="10">
        <f t="shared" si="14"/>
        <v>0.12429378531073443</v>
      </c>
    </row>
    <row r="151" spans="1:10" ht="12.75" x14ac:dyDescent="0.2">
      <c r="A151" s="9">
        <v>150</v>
      </c>
      <c r="B151" s="8" t="s">
        <v>155</v>
      </c>
      <c r="C151" s="8">
        <v>1</v>
      </c>
      <c r="D151" s="6">
        <v>9.09</v>
      </c>
      <c r="E151" s="6">
        <f t="shared" si="10"/>
        <v>9.09</v>
      </c>
      <c r="F151" s="6">
        <f t="shared" si="11"/>
        <v>9.4026960000000006</v>
      </c>
      <c r="G151" s="7">
        <v>10.5</v>
      </c>
      <c r="H151" s="6">
        <f t="shared" si="12"/>
        <v>1.4100000000000001</v>
      </c>
      <c r="I151" s="6">
        <f t="shared" si="13"/>
        <v>1.0973039999999994</v>
      </c>
      <c r="J151" s="10">
        <f t="shared" si="14"/>
        <v>0.15511551155115513</v>
      </c>
    </row>
    <row r="152" spans="1:10" ht="12.75" x14ac:dyDescent="0.2">
      <c r="A152" s="9">
        <v>151</v>
      </c>
      <c r="B152" s="8" t="s">
        <v>156</v>
      </c>
      <c r="C152" s="8">
        <v>1</v>
      </c>
      <c r="D152" s="6">
        <v>11.9</v>
      </c>
      <c r="E152" s="6">
        <f t="shared" si="10"/>
        <v>11.9</v>
      </c>
      <c r="F152" s="6">
        <f t="shared" si="11"/>
        <v>12.30936</v>
      </c>
      <c r="G152" s="7">
        <v>14.5</v>
      </c>
      <c r="H152" s="6">
        <f t="shared" si="12"/>
        <v>2.5999999999999996</v>
      </c>
      <c r="I152" s="6">
        <f t="shared" si="13"/>
        <v>2.1906400000000001</v>
      </c>
      <c r="J152" s="10">
        <f t="shared" si="14"/>
        <v>0.21848739495798317</v>
      </c>
    </row>
    <row r="153" spans="1:10" ht="12.75" x14ac:dyDescent="0.2">
      <c r="A153" s="9">
        <v>152</v>
      </c>
      <c r="B153" s="8" t="s">
        <v>157</v>
      </c>
      <c r="C153" s="8">
        <v>1</v>
      </c>
      <c r="D153" s="6">
        <v>10.9</v>
      </c>
      <c r="E153" s="6">
        <f t="shared" si="10"/>
        <v>10.9</v>
      </c>
      <c r="F153" s="6">
        <f t="shared" si="11"/>
        <v>11.27496</v>
      </c>
      <c r="G153" s="7">
        <v>13</v>
      </c>
      <c r="H153" s="6">
        <f t="shared" si="12"/>
        <v>2.0999999999999996</v>
      </c>
      <c r="I153" s="6">
        <f t="shared" si="13"/>
        <v>1.7250399999999999</v>
      </c>
      <c r="J153" s="10">
        <f t="shared" si="14"/>
        <v>0.19266055045871555</v>
      </c>
    </row>
    <row r="154" spans="1:10" ht="12.75" x14ac:dyDescent="0.2">
      <c r="A154" s="9">
        <v>153</v>
      </c>
      <c r="B154" s="8" t="s">
        <v>158</v>
      </c>
      <c r="C154" s="8">
        <f>5*12</f>
        <v>60</v>
      </c>
      <c r="D154" s="6">
        <v>31.9</v>
      </c>
      <c r="E154" s="6">
        <f t="shared" si="10"/>
        <v>0.53166666666666662</v>
      </c>
      <c r="F154" s="6">
        <f t="shared" si="11"/>
        <v>0.549956</v>
      </c>
      <c r="G154" s="7">
        <v>0.7</v>
      </c>
      <c r="H154" s="6">
        <f t="shared" si="12"/>
        <v>0.16833333333333333</v>
      </c>
      <c r="I154" s="6">
        <f t="shared" si="13"/>
        <v>0.15004399999999996</v>
      </c>
      <c r="J154" s="10">
        <f t="shared" si="14"/>
        <v>0.31661442006269597</v>
      </c>
    </row>
    <row r="155" spans="1:10" ht="12.75" x14ac:dyDescent="0.2">
      <c r="A155" s="9">
        <v>154</v>
      </c>
      <c r="B155" s="8" t="s">
        <v>159</v>
      </c>
      <c r="C155" s="8">
        <v>1</v>
      </c>
      <c r="D155" s="6">
        <v>10.9</v>
      </c>
      <c r="E155" s="6">
        <f t="shared" si="10"/>
        <v>10.9</v>
      </c>
      <c r="F155" s="6">
        <f t="shared" si="11"/>
        <v>11.27496</v>
      </c>
      <c r="G155" s="7">
        <v>15</v>
      </c>
      <c r="H155" s="6">
        <f t="shared" si="12"/>
        <v>4.0999999999999996</v>
      </c>
      <c r="I155" s="6">
        <f t="shared" si="13"/>
        <v>3.7250399999999999</v>
      </c>
      <c r="J155" s="10">
        <f t="shared" si="14"/>
        <v>0.37614678899082565</v>
      </c>
    </row>
    <row r="156" spans="1:10" ht="12.75" x14ac:dyDescent="0.2">
      <c r="A156" s="9">
        <v>155</v>
      </c>
      <c r="B156" s="8" t="s">
        <v>152</v>
      </c>
      <c r="C156" s="8">
        <v>1</v>
      </c>
      <c r="D156" s="6">
        <v>6.5</v>
      </c>
      <c r="E156" s="6">
        <f t="shared" si="10"/>
        <v>6.5</v>
      </c>
      <c r="F156" s="6">
        <f t="shared" si="11"/>
        <v>6.7236000000000002</v>
      </c>
      <c r="G156" s="7">
        <v>8.8000000000000007</v>
      </c>
      <c r="H156" s="6">
        <f t="shared" si="12"/>
        <v>2.3000000000000007</v>
      </c>
      <c r="I156" s="6">
        <f t="shared" si="13"/>
        <v>2.0764000000000005</v>
      </c>
      <c r="J156" s="10">
        <f t="shared" si="14"/>
        <v>0.35384615384615398</v>
      </c>
    </row>
    <row r="157" spans="1:10" ht="12.75" x14ac:dyDescent="0.2">
      <c r="A157" s="9">
        <v>156</v>
      </c>
      <c r="B157" s="8" t="s">
        <v>162</v>
      </c>
      <c r="C157" s="8">
        <v>1</v>
      </c>
      <c r="D157" s="6">
        <v>4.49</v>
      </c>
      <c r="E157" s="6">
        <f t="shared" si="10"/>
        <v>4.49</v>
      </c>
      <c r="F157" s="6">
        <f t="shared" si="11"/>
        <v>4.6444559999999999</v>
      </c>
      <c r="G157" s="7">
        <v>5.6</v>
      </c>
      <c r="H157" s="6">
        <f t="shared" si="12"/>
        <v>1.1099999999999994</v>
      </c>
      <c r="I157" s="6">
        <f t="shared" si="13"/>
        <v>0.95554399999999973</v>
      </c>
      <c r="J157" s="10">
        <f t="shared" si="14"/>
        <v>0.24721603563474373</v>
      </c>
    </row>
    <row r="158" spans="1:10" ht="12.75" x14ac:dyDescent="0.2">
      <c r="A158" s="9">
        <v>157</v>
      </c>
      <c r="B158" s="8" t="s">
        <v>163</v>
      </c>
      <c r="C158" s="8">
        <v>1</v>
      </c>
      <c r="D158" s="6">
        <v>2.7</v>
      </c>
      <c r="E158" s="6">
        <f t="shared" si="10"/>
        <v>2.7</v>
      </c>
      <c r="F158" s="6">
        <f t="shared" si="11"/>
        <v>2.7928800000000003</v>
      </c>
      <c r="G158" s="7">
        <v>3.7</v>
      </c>
      <c r="H158" s="6">
        <f t="shared" si="12"/>
        <v>1</v>
      </c>
      <c r="I158" s="6">
        <f t="shared" si="13"/>
        <v>0.90711999999999993</v>
      </c>
      <c r="J158" s="10">
        <f t="shared" si="14"/>
        <v>0.37037037037037035</v>
      </c>
    </row>
    <row r="159" spans="1:10" ht="12.75" x14ac:dyDescent="0.2">
      <c r="A159" s="9">
        <v>158</v>
      </c>
      <c r="B159" s="8" t="s">
        <v>164</v>
      </c>
      <c r="C159" s="8">
        <v>1</v>
      </c>
      <c r="D159" s="6">
        <v>2.79</v>
      </c>
      <c r="E159" s="6">
        <f t="shared" si="10"/>
        <v>2.79</v>
      </c>
      <c r="F159" s="6">
        <f t="shared" si="11"/>
        <v>2.8859759999999999</v>
      </c>
      <c r="G159" s="7">
        <v>3.8</v>
      </c>
      <c r="H159" s="6">
        <f t="shared" si="12"/>
        <v>1.0099999999999998</v>
      </c>
      <c r="I159" s="6">
        <f t="shared" si="13"/>
        <v>0.91402399999999995</v>
      </c>
      <c r="J159" s="10">
        <f t="shared" si="14"/>
        <v>0.36200716845878128</v>
      </c>
    </row>
    <row r="160" spans="1:10" ht="12.75" x14ac:dyDescent="0.2">
      <c r="A160" s="9">
        <v>159</v>
      </c>
      <c r="B160" s="8" t="s">
        <v>165</v>
      </c>
      <c r="C160" s="8">
        <v>1</v>
      </c>
      <c r="D160" s="6">
        <v>2.9</v>
      </c>
      <c r="E160" s="6">
        <f t="shared" si="10"/>
        <v>2.9</v>
      </c>
      <c r="F160" s="6">
        <f t="shared" si="11"/>
        <v>2.9997599999999998</v>
      </c>
      <c r="G160" s="7">
        <v>4.2</v>
      </c>
      <c r="H160" s="6">
        <f t="shared" si="12"/>
        <v>1.3000000000000003</v>
      </c>
      <c r="I160" s="6">
        <f t="shared" si="13"/>
        <v>1.2002400000000004</v>
      </c>
      <c r="J160" s="10">
        <f t="shared" si="14"/>
        <v>0.44827586206896564</v>
      </c>
    </row>
    <row r="161" spans="1:10" ht="12.75" x14ac:dyDescent="0.2">
      <c r="A161" s="9">
        <v>160</v>
      </c>
      <c r="B161" s="8" t="s">
        <v>166</v>
      </c>
      <c r="C161" s="8">
        <v>1</v>
      </c>
      <c r="D161" s="6">
        <v>13.8</v>
      </c>
      <c r="E161" s="6">
        <f t="shared" si="10"/>
        <v>13.8</v>
      </c>
      <c r="F161" s="6">
        <f t="shared" si="11"/>
        <v>14.27472</v>
      </c>
      <c r="G161" s="7">
        <v>21</v>
      </c>
      <c r="H161" s="6">
        <f t="shared" si="12"/>
        <v>7.1999999999999993</v>
      </c>
      <c r="I161" s="6">
        <f t="shared" si="13"/>
        <v>6.7252799999999997</v>
      </c>
      <c r="J161" s="10">
        <f t="shared" si="14"/>
        <v>0.52173913043478248</v>
      </c>
    </row>
    <row r="162" spans="1:10" ht="12.75" x14ac:dyDescent="0.2">
      <c r="A162" s="9">
        <v>161</v>
      </c>
      <c r="B162" s="8" t="s">
        <v>167</v>
      </c>
      <c r="C162" s="8">
        <v>20</v>
      </c>
      <c r="D162" s="6">
        <v>7.5</v>
      </c>
      <c r="E162" s="6">
        <f t="shared" si="10"/>
        <v>0.375</v>
      </c>
      <c r="F162" s="6">
        <f t="shared" si="11"/>
        <v>0.38790000000000002</v>
      </c>
      <c r="G162" s="7">
        <v>1</v>
      </c>
      <c r="H162" s="6">
        <f t="shared" si="12"/>
        <v>0.625</v>
      </c>
      <c r="I162" s="6">
        <f t="shared" si="13"/>
        <v>0.61209999999999998</v>
      </c>
      <c r="J162" s="10">
        <f t="shared" si="14"/>
        <v>1.6666666666666667</v>
      </c>
    </row>
    <row r="163" spans="1:10" ht="12.75" x14ac:dyDescent="0.2">
      <c r="A163" s="9">
        <v>162</v>
      </c>
      <c r="B163" s="8" t="s">
        <v>168</v>
      </c>
      <c r="C163" s="8">
        <v>1</v>
      </c>
      <c r="D163" s="6">
        <v>3.5</v>
      </c>
      <c r="E163" s="6">
        <f t="shared" si="10"/>
        <v>3.5</v>
      </c>
      <c r="F163" s="6">
        <f t="shared" si="11"/>
        <v>3.6204000000000001</v>
      </c>
      <c r="G163" s="7">
        <v>5.5</v>
      </c>
      <c r="H163" s="6">
        <f t="shared" si="12"/>
        <v>2</v>
      </c>
      <c r="I163" s="6">
        <f t="shared" si="13"/>
        <v>1.8795999999999999</v>
      </c>
      <c r="J163" s="10">
        <f t="shared" si="14"/>
        <v>0.5714285714285714</v>
      </c>
    </row>
    <row r="164" spans="1:10" ht="12.75" x14ac:dyDescent="0.2">
      <c r="A164" s="9">
        <v>163</v>
      </c>
      <c r="B164" s="8" t="s">
        <v>169</v>
      </c>
      <c r="C164" s="8">
        <v>1</v>
      </c>
      <c r="D164" s="6">
        <v>1.45</v>
      </c>
      <c r="E164" s="6">
        <f t="shared" si="10"/>
        <v>1.45</v>
      </c>
      <c r="F164" s="6">
        <f t="shared" si="11"/>
        <v>1.4998799999999999</v>
      </c>
      <c r="G164" s="7">
        <v>2</v>
      </c>
      <c r="H164" s="6">
        <f t="shared" si="12"/>
        <v>0.55000000000000004</v>
      </c>
      <c r="I164" s="6">
        <f t="shared" si="13"/>
        <v>0.50012000000000012</v>
      </c>
      <c r="J164" s="10">
        <f t="shared" si="14"/>
        <v>0.37931034482758624</v>
      </c>
    </row>
    <row r="165" spans="1:10" ht="12.75" x14ac:dyDescent="0.2">
      <c r="A165" s="9">
        <v>164</v>
      </c>
      <c r="B165" s="8" t="s">
        <v>170</v>
      </c>
      <c r="C165" s="8">
        <v>1</v>
      </c>
      <c r="D165" s="6">
        <v>0.65</v>
      </c>
      <c r="E165" s="6">
        <f t="shared" si="10"/>
        <v>0.65</v>
      </c>
      <c r="F165" s="6">
        <f t="shared" si="11"/>
        <v>0.67236000000000007</v>
      </c>
      <c r="G165" s="7">
        <v>1.3</v>
      </c>
      <c r="H165" s="6">
        <f t="shared" si="12"/>
        <v>0.65</v>
      </c>
      <c r="I165" s="6">
        <f t="shared" si="13"/>
        <v>0.62763999999999998</v>
      </c>
      <c r="J165" s="10">
        <f t="shared" si="14"/>
        <v>1</v>
      </c>
    </row>
    <row r="166" spans="1:10" ht="12.75" x14ac:dyDescent="0.2">
      <c r="A166" s="9">
        <v>165</v>
      </c>
      <c r="B166" s="8" t="s">
        <v>171</v>
      </c>
      <c r="C166" s="8">
        <v>24</v>
      </c>
      <c r="D166" s="6">
        <v>11.39</v>
      </c>
      <c r="E166" s="6">
        <f t="shared" si="10"/>
        <v>0.47458333333333336</v>
      </c>
      <c r="F166" s="6">
        <f t="shared" si="11"/>
        <v>0.49090900000000004</v>
      </c>
      <c r="G166" s="7">
        <v>1</v>
      </c>
      <c r="H166" s="6">
        <f t="shared" si="12"/>
        <v>0.52541666666666664</v>
      </c>
      <c r="I166" s="6">
        <f t="shared" si="13"/>
        <v>0.50909099999999996</v>
      </c>
      <c r="J166" s="10">
        <f t="shared" si="14"/>
        <v>1.1071115013169446</v>
      </c>
    </row>
    <row r="167" spans="1:10" ht="12.75" x14ac:dyDescent="0.2">
      <c r="A167" s="9">
        <v>166</v>
      </c>
      <c r="B167" s="8" t="s">
        <v>172</v>
      </c>
      <c r="C167" s="8">
        <v>50</v>
      </c>
      <c r="D167" s="6">
        <v>7.59</v>
      </c>
      <c r="E167" s="6">
        <f t="shared" si="10"/>
        <v>0.15179999999999999</v>
      </c>
      <c r="F167" s="6">
        <f t="shared" si="11"/>
        <v>0.15702191999999998</v>
      </c>
      <c r="G167" s="7">
        <v>0.2</v>
      </c>
      <c r="H167" s="6">
        <f t="shared" si="12"/>
        <v>4.8200000000000021E-2</v>
      </c>
      <c r="I167" s="6">
        <f t="shared" si="13"/>
        <v>4.297808000000003E-2</v>
      </c>
      <c r="J167" s="10">
        <f t="shared" si="14"/>
        <v>0.31752305665349156</v>
      </c>
    </row>
    <row r="168" spans="1:10" ht="12.75" x14ac:dyDescent="0.2">
      <c r="A168" s="9">
        <v>167</v>
      </c>
      <c r="B168" s="8" t="s">
        <v>173</v>
      </c>
      <c r="C168" s="8">
        <v>1</v>
      </c>
      <c r="D168" s="6">
        <v>1.49</v>
      </c>
      <c r="E168" s="6">
        <f t="shared" si="10"/>
        <v>1.49</v>
      </c>
      <c r="F168" s="6">
        <f t="shared" si="11"/>
        <v>1.541256</v>
      </c>
      <c r="G168" s="7">
        <v>2.5</v>
      </c>
      <c r="H168" s="6">
        <f t="shared" si="12"/>
        <v>1.01</v>
      </c>
      <c r="I168" s="6">
        <f t="shared" si="13"/>
        <v>0.95874400000000004</v>
      </c>
      <c r="J168" s="10">
        <f t="shared" si="14"/>
        <v>0.67785234899328861</v>
      </c>
    </row>
    <row r="169" spans="1:10" ht="12.75" x14ac:dyDescent="0.2">
      <c r="A169" s="9">
        <v>168</v>
      </c>
      <c r="B169" s="8" t="s">
        <v>174</v>
      </c>
      <c r="C169" s="8">
        <v>1</v>
      </c>
      <c r="D169" s="6">
        <v>29.9</v>
      </c>
      <c r="E169" s="6">
        <f t="shared" si="10"/>
        <v>29.9</v>
      </c>
      <c r="F169" s="6">
        <f t="shared" si="11"/>
        <v>30.928559999999997</v>
      </c>
      <c r="G169" s="7">
        <v>40</v>
      </c>
      <c r="H169" s="6">
        <f t="shared" si="12"/>
        <v>10.100000000000001</v>
      </c>
      <c r="I169" s="6">
        <f t="shared" si="13"/>
        <v>9.0714400000000026</v>
      </c>
      <c r="J169" s="10">
        <f t="shared" si="14"/>
        <v>0.33779264214046828</v>
      </c>
    </row>
    <row r="170" spans="1:10" ht="12.75" x14ac:dyDescent="0.2">
      <c r="A170" s="9">
        <v>169</v>
      </c>
      <c r="B170" s="8" t="s">
        <v>176</v>
      </c>
      <c r="C170" s="8">
        <v>1</v>
      </c>
      <c r="D170" s="6">
        <v>2.65</v>
      </c>
      <c r="E170" s="6">
        <f t="shared" si="10"/>
        <v>2.65</v>
      </c>
      <c r="F170" s="6">
        <f t="shared" si="11"/>
        <v>2.7411599999999998</v>
      </c>
      <c r="G170" s="7">
        <v>4.3</v>
      </c>
      <c r="H170" s="6">
        <f t="shared" si="12"/>
        <v>1.65</v>
      </c>
      <c r="I170" s="6">
        <f t="shared" si="13"/>
        <v>1.55884</v>
      </c>
      <c r="J170" s="10">
        <f t="shared" si="14"/>
        <v>0.62264150943396224</v>
      </c>
    </row>
    <row r="171" spans="1:10" ht="12.75" x14ac:dyDescent="0.2">
      <c r="A171" s="9">
        <v>170</v>
      </c>
      <c r="B171" s="8" t="s">
        <v>177</v>
      </c>
      <c r="C171" s="8">
        <v>1</v>
      </c>
      <c r="D171" s="6">
        <v>2.65</v>
      </c>
      <c r="E171" s="6">
        <f t="shared" si="10"/>
        <v>2.65</v>
      </c>
      <c r="F171" s="6">
        <f t="shared" si="11"/>
        <v>2.7411599999999998</v>
      </c>
      <c r="G171" s="7">
        <v>3.7</v>
      </c>
      <c r="H171" s="6">
        <f t="shared" si="12"/>
        <v>1.0500000000000003</v>
      </c>
      <c r="I171" s="6">
        <f t="shared" si="13"/>
        <v>0.95884000000000036</v>
      </c>
      <c r="J171" s="10">
        <f t="shared" si="14"/>
        <v>0.39622641509433976</v>
      </c>
    </row>
    <row r="172" spans="1:10" ht="12.75" x14ac:dyDescent="0.2">
      <c r="A172" s="9">
        <v>171</v>
      </c>
      <c r="B172" s="8" t="s">
        <v>178</v>
      </c>
      <c r="C172" s="8">
        <v>1</v>
      </c>
      <c r="D172" s="6">
        <v>1.9</v>
      </c>
      <c r="E172" s="6">
        <f t="shared" si="10"/>
        <v>1.9</v>
      </c>
      <c r="F172" s="6">
        <f t="shared" si="11"/>
        <v>1.96536</v>
      </c>
      <c r="G172" s="7">
        <v>3.2</v>
      </c>
      <c r="H172" s="6">
        <f t="shared" si="12"/>
        <v>1.3000000000000003</v>
      </c>
      <c r="I172" s="6">
        <f t="shared" si="13"/>
        <v>1.2346400000000002</v>
      </c>
      <c r="J172" s="10">
        <f t="shared" si="14"/>
        <v>0.6842105263157896</v>
      </c>
    </row>
    <row r="173" spans="1:10" ht="12.75" x14ac:dyDescent="0.2">
      <c r="A173" s="9">
        <v>172</v>
      </c>
      <c r="B173" s="8" t="s">
        <v>179</v>
      </c>
      <c r="C173" s="8">
        <v>1</v>
      </c>
      <c r="D173" s="6">
        <v>4.4000000000000004</v>
      </c>
      <c r="E173" s="6">
        <f t="shared" si="10"/>
        <v>4.4000000000000004</v>
      </c>
      <c r="F173" s="6">
        <f t="shared" si="11"/>
        <v>4.5513600000000007</v>
      </c>
      <c r="G173" s="7">
        <v>6</v>
      </c>
      <c r="H173" s="6">
        <f t="shared" si="12"/>
        <v>1.5999999999999996</v>
      </c>
      <c r="I173" s="6">
        <f t="shared" si="13"/>
        <v>1.4486399999999993</v>
      </c>
      <c r="J173" s="10">
        <f t="shared" si="14"/>
        <v>0.36363636363636354</v>
      </c>
    </row>
    <row r="174" spans="1:10" ht="12.75" x14ac:dyDescent="0.2">
      <c r="A174" s="9">
        <v>173</v>
      </c>
      <c r="B174" s="8" t="s">
        <v>180</v>
      </c>
      <c r="C174" s="8">
        <v>1</v>
      </c>
      <c r="D174" s="6">
        <v>5.35</v>
      </c>
      <c r="E174" s="6">
        <f t="shared" si="10"/>
        <v>5.35</v>
      </c>
      <c r="F174" s="6">
        <f t="shared" si="11"/>
        <v>5.5340399999999992</v>
      </c>
      <c r="G174" s="7">
        <v>7</v>
      </c>
      <c r="H174" s="6">
        <f t="shared" si="12"/>
        <v>1.6500000000000004</v>
      </c>
      <c r="I174" s="6">
        <f t="shared" si="13"/>
        <v>1.4659600000000008</v>
      </c>
      <c r="J174" s="10">
        <f t="shared" si="14"/>
        <v>0.30841121495327112</v>
      </c>
    </row>
    <row r="175" spans="1:10" ht="12.75" x14ac:dyDescent="0.2">
      <c r="A175" s="9">
        <v>174</v>
      </c>
      <c r="B175" s="8" t="s">
        <v>181</v>
      </c>
      <c r="C175" s="8">
        <v>6</v>
      </c>
      <c r="D175" s="6">
        <v>22.74</v>
      </c>
      <c r="E175" s="6">
        <f t="shared" si="10"/>
        <v>3.7899999999999996</v>
      </c>
      <c r="F175" s="6">
        <f t="shared" si="11"/>
        <v>3.9203759999999996</v>
      </c>
      <c r="G175" s="7">
        <v>5.5</v>
      </c>
      <c r="H175" s="6">
        <f t="shared" si="12"/>
        <v>1.7100000000000004</v>
      </c>
      <c r="I175" s="6">
        <f t="shared" si="13"/>
        <v>1.5796240000000004</v>
      </c>
      <c r="J175" s="10">
        <f t="shared" si="14"/>
        <v>0.45118733509234843</v>
      </c>
    </row>
    <row r="176" spans="1:10" ht="12.75" x14ac:dyDescent="0.2">
      <c r="A176" s="9">
        <v>175</v>
      </c>
      <c r="B176" s="8" t="s">
        <v>182</v>
      </c>
      <c r="C176" s="8">
        <v>1</v>
      </c>
      <c r="D176" s="6">
        <v>4.29</v>
      </c>
      <c r="E176" s="6">
        <f t="shared" si="10"/>
        <v>4.29</v>
      </c>
      <c r="F176" s="6">
        <f t="shared" si="11"/>
        <v>4.437576</v>
      </c>
      <c r="G176" s="7">
        <v>6</v>
      </c>
      <c r="H176" s="6">
        <f t="shared" si="12"/>
        <v>1.71</v>
      </c>
      <c r="I176" s="6">
        <f t="shared" si="13"/>
        <v>1.562424</v>
      </c>
      <c r="J176" s="10">
        <f t="shared" si="14"/>
        <v>0.39860139860139859</v>
      </c>
    </row>
    <row r="177" spans="1:10" ht="12.75" x14ac:dyDescent="0.2">
      <c r="A177" s="9">
        <v>176</v>
      </c>
      <c r="B177" s="8" t="s">
        <v>183</v>
      </c>
      <c r="C177" s="8">
        <v>1</v>
      </c>
      <c r="D177" s="6">
        <v>5.19</v>
      </c>
      <c r="E177" s="6">
        <f t="shared" si="10"/>
        <v>5.19</v>
      </c>
      <c r="F177" s="6">
        <f t="shared" si="11"/>
        <v>5.3685360000000006</v>
      </c>
      <c r="G177" s="7">
        <v>8</v>
      </c>
      <c r="H177" s="6">
        <f t="shared" si="12"/>
        <v>2.8099999999999996</v>
      </c>
      <c r="I177" s="6">
        <f t="shared" si="13"/>
        <v>2.6314639999999994</v>
      </c>
      <c r="J177" s="10">
        <f t="shared" si="14"/>
        <v>0.54142581888246621</v>
      </c>
    </row>
    <row r="178" spans="1:10" ht="12.75" x14ac:dyDescent="0.2">
      <c r="A178" s="9">
        <v>177</v>
      </c>
      <c r="B178" s="8" t="s">
        <v>184</v>
      </c>
      <c r="C178" s="8">
        <v>1</v>
      </c>
      <c r="D178" s="6">
        <v>4.29</v>
      </c>
      <c r="E178" s="6">
        <f t="shared" si="10"/>
        <v>4.29</v>
      </c>
      <c r="F178" s="6">
        <f t="shared" si="11"/>
        <v>4.437576</v>
      </c>
      <c r="G178" s="7">
        <v>5.5</v>
      </c>
      <c r="H178" s="6">
        <f t="shared" si="12"/>
        <v>1.21</v>
      </c>
      <c r="I178" s="6">
        <f t="shared" si="13"/>
        <v>1.062424</v>
      </c>
      <c r="J178" s="10">
        <f t="shared" si="14"/>
        <v>0.28205128205128205</v>
      </c>
    </row>
    <row r="179" spans="1:10" ht="12.75" x14ac:dyDescent="0.2">
      <c r="A179" s="9">
        <v>178</v>
      </c>
      <c r="B179" s="8" t="s">
        <v>185</v>
      </c>
      <c r="C179" s="8">
        <v>1</v>
      </c>
      <c r="D179" s="6">
        <v>3.49</v>
      </c>
      <c r="E179" s="6">
        <f t="shared" si="10"/>
        <v>3.49</v>
      </c>
      <c r="F179" s="6">
        <f t="shared" si="11"/>
        <v>3.6100560000000002</v>
      </c>
      <c r="G179" s="7">
        <v>5</v>
      </c>
      <c r="H179" s="6">
        <f t="shared" si="12"/>
        <v>1.5099999999999998</v>
      </c>
      <c r="I179" s="6">
        <f t="shared" si="13"/>
        <v>1.3899439999999998</v>
      </c>
      <c r="J179" s="10">
        <f t="shared" si="14"/>
        <v>0.43266475644699132</v>
      </c>
    </row>
    <row r="180" spans="1:10" ht="12.75" x14ac:dyDescent="0.2">
      <c r="A180" s="9">
        <v>179</v>
      </c>
      <c r="B180" s="8" t="s">
        <v>186</v>
      </c>
      <c r="C180" s="8">
        <v>1</v>
      </c>
      <c r="D180" s="6">
        <v>3.59</v>
      </c>
      <c r="E180" s="6">
        <f t="shared" si="10"/>
        <v>3.59</v>
      </c>
      <c r="F180" s="6">
        <f t="shared" si="11"/>
        <v>3.7134959999999997</v>
      </c>
      <c r="G180" s="7">
        <v>5</v>
      </c>
      <c r="H180" s="6">
        <f t="shared" si="12"/>
        <v>1.4100000000000001</v>
      </c>
      <c r="I180" s="6">
        <f t="shared" si="13"/>
        <v>1.2865040000000003</v>
      </c>
      <c r="J180" s="10">
        <f t="shared" si="14"/>
        <v>0.39275766016713098</v>
      </c>
    </row>
    <row r="181" spans="1:10" ht="12.75" x14ac:dyDescent="0.2">
      <c r="A181" s="9">
        <v>180</v>
      </c>
      <c r="B181" s="8" t="s">
        <v>187</v>
      </c>
      <c r="C181" s="8">
        <v>1</v>
      </c>
      <c r="D181" s="6">
        <v>1.35</v>
      </c>
      <c r="E181" s="6">
        <f t="shared" si="10"/>
        <v>1.35</v>
      </c>
      <c r="F181" s="6">
        <f t="shared" si="11"/>
        <v>1.3964400000000001</v>
      </c>
      <c r="G181" s="7">
        <v>2.6</v>
      </c>
      <c r="H181" s="6">
        <f t="shared" si="12"/>
        <v>1.25</v>
      </c>
      <c r="I181" s="6">
        <f t="shared" si="13"/>
        <v>1.20356</v>
      </c>
      <c r="J181" s="10">
        <f t="shared" si="14"/>
        <v>0.92592592592592582</v>
      </c>
    </row>
    <row r="182" spans="1:10" ht="12.75" x14ac:dyDescent="0.2">
      <c r="A182" s="9">
        <v>181</v>
      </c>
      <c r="B182" s="8" t="s">
        <v>188</v>
      </c>
      <c r="C182" s="8">
        <v>1</v>
      </c>
      <c r="D182" s="6">
        <v>2.4900000000000002</v>
      </c>
      <c r="E182" s="6">
        <f t="shared" si="10"/>
        <v>2.4900000000000002</v>
      </c>
      <c r="F182" s="6">
        <f t="shared" si="11"/>
        <v>2.5756560000000004</v>
      </c>
      <c r="G182" s="7">
        <v>3.9</v>
      </c>
      <c r="H182" s="6">
        <f t="shared" si="12"/>
        <v>1.4099999999999997</v>
      </c>
      <c r="I182" s="6">
        <f t="shared" si="13"/>
        <v>1.3243439999999995</v>
      </c>
      <c r="J182" s="10">
        <f t="shared" si="14"/>
        <v>0.56626506024096368</v>
      </c>
    </row>
    <row r="183" spans="1:10" ht="12.75" x14ac:dyDescent="0.2">
      <c r="A183" s="9">
        <v>182</v>
      </c>
      <c r="B183" s="8" t="s">
        <v>189</v>
      </c>
      <c r="C183" s="8">
        <v>1</v>
      </c>
      <c r="D183" s="6">
        <v>2.4900000000000002</v>
      </c>
      <c r="E183" s="6">
        <f t="shared" si="10"/>
        <v>2.4900000000000002</v>
      </c>
      <c r="F183" s="6">
        <f t="shared" si="11"/>
        <v>2.5756560000000004</v>
      </c>
      <c r="G183" s="7">
        <v>3.9</v>
      </c>
      <c r="H183" s="6">
        <f t="shared" si="12"/>
        <v>1.4099999999999997</v>
      </c>
      <c r="I183" s="6">
        <f t="shared" si="13"/>
        <v>1.3243439999999995</v>
      </c>
      <c r="J183" s="10">
        <f t="shared" si="14"/>
        <v>0.56626506024096368</v>
      </c>
    </row>
    <row r="184" spans="1:10" ht="12.75" x14ac:dyDescent="0.2">
      <c r="A184" s="9">
        <v>183</v>
      </c>
      <c r="B184" s="8" t="s">
        <v>190</v>
      </c>
      <c r="C184" s="8">
        <v>1</v>
      </c>
      <c r="D184" s="6">
        <v>5.9</v>
      </c>
      <c r="E184" s="6">
        <f t="shared" si="10"/>
        <v>5.9</v>
      </c>
      <c r="F184" s="6">
        <f t="shared" si="11"/>
        <v>6.1029600000000004</v>
      </c>
      <c r="G184" s="7">
        <v>7</v>
      </c>
      <c r="H184" s="6">
        <f t="shared" si="12"/>
        <v>1.0999999999999996</v>
      </c>
      <c r="I184" s="6">
        <f t="shared" si="13"/>
        <v>0.89703999999999962</v>
      </c>
      <c r="J184" s="10">
        <f t="shared" si="14"/>
        <v>0.18644067796610161</v>
      </c>
    </row>
    <row r="185" spans="1:10" ht="12.75" x14ac:dyDescent="0.2">
      <c r="A185" s="9">
        <v>184</v>
      </c>
      <c r="B185" s="8" t="s">
        <v>191</v>
      </c>
      <c r="C185" s="8">
        <v>5</v>
      </c>
      <c r="D185" s="6">
        <v>10.9</v>
      </c>
      <c r="E185" s="6">
        <f t="shared" si="10"/>
        <v>2.1800000000000002</v>
      </c>
      <c r="F185" s="6">
        <f t="shared" si="11"/>
        <v>2.2549920000000001</v>
      </c>
      <c r="G185" s="7">
        <f>2.8</f>
        <v>2.8</v>
      </c>
      <c r="H185" s="6">
        <f t="shared" si="12"/>
        <v>0.61999999999999966</v>
      </c>
      <c r="I185" s="6">
        <f t="shared" si="13"/>
        <v>0.54500799999999971</v>
      </c>
      <c r="J185" s="10">
        <f t="shared" si="14"/>
        <v>0.28440366972477049</v>
      </c>
    </row>
    <row r="186" spans="1:10" ht="12.75" x14ac:dyDescent="0.2">
      <c r="A186" s="9">
        <v>185</v>
      </c>
      <c r="B186" s="8" t="s">
        <v>192</v>
      </c>
      <c r="C186" s="8">
        <v>5</v>
      </c>
      <c r="D186" s="6">
        <v>10.79</v>
      </c>
      <c r="E186" s="6">
        <f t="shared" si="10"/>
        <v>2.1579999999999999</v>
      </c>
      <c r="F186" s="6">
        <f t="shared" si="11"/>
        <v>2.2322351999999999</v>
      </c>
      <c r="G186" s="7">
        <v>3</v>
      </c>
      <c r="H186" s="6">
        <f t="shared" si="12"/>
        <v>0.84200000000000008</v>
      </c>
      <c r="I186" s="6">
        <f t="shared" si="13"/>
        <v>0.76776480000000014</v>
      </c>
      <c r="J186" s="10">
        <f t="shared" si="14"/>
        <v>0.39017608897126976</v>
      </c>
    </row>
    <row r="187" spans="1:10" ht="12.75" x14ac:dyDescent="0.2">
      <c r="A187" s="9">
        <v>186</v>
      </c>
      <c r="B187" s="8" t="s">
        <v>193</v>
      </c>
      <c r="C187" s="8">
        <v>1</v>
      </c>
      <c r="D187" s="6">
        <v>3.89</v>
      </c>
      <c r="E187" s="6">
        <f t="shared" si="10"/>
        <v>3.89</v>
      </c>
      <c r="F187" s="6">
        <f t="shared" si="11"/>
        <v>4.0238160000000001</v>
      </c>
      <c r="G187" s="7">
        <v>5</v>
      </c>
      <c r="H187" s="6">
        <f t="shared" si="12"/>
        <v>1.1099999999999999</v>
      </c>
      <c r="I187" s="6">
        <f t="shared" si="13"/>
        <v>0.97618399999999994</v>
      </c>
      <c r="J187" s="10">
        <f t="shared" si="14"/>
        <v>0.28534704370179942</v>
      </c>
    </row>
    <row r="188" spans="1:10" ht="12.75" x14ac:dyDescent="0.2">
      <c r="A188" s="9">
        <v>187</v>
      </c>
      <c r="B188" s="8" t="s">
        <v>194</v>
      </c>
      <c r="C188" s="8">
        <v>1</v>
      </c>
      <c r="D188" s="6">
        <v>8.1</v>
      </c>
      <c r="E188" s="6">
        <f t="shared" si="10"/>
        <v>8.1</v>
      </c>
      <c r="F188" s="6">
        <f t="shared" si="11"/>
        <v>8.378639999999999</v>
      </c>
      <c r="G188" s="7">
        <v>10</v>
      </c>
      <c r="H188" s="6">
        <f t="shared" si="12"/>
        <v>1.9000000000000004</v>
      </c>
      <c r="I188" s="6">
        <f t="shared" si="13"/>
        <v>1.621360000000001</v>
      </c>
      <c r="J188" s="10">
        <f t="shared" si="14"/>
        <v>0.23456790123456794</v>
      </c>
    </row>
    <row r="189" spans="1:10" ht="12.75" x14ac:dyDescent="0.2">
      <c r="A189" s="9">
        <v>188</v>
      </c>
      <c r="B189" s="8" t="s">
        <v>195</v>
      </c>
      <c r="C189" s="8">
        <v>1</v>
      </c>
      <c r="D189" s="6">
        <v>1.39</v>
      </c>
      <c r="E189" s="6">
        <f t="shared" si="10"/>
        <v>1.39</v>
      </c>
      <c r="F189" s="6">
        <f t="shared" si="11"/>
        <v>1.437816</v>
      </c>
      <c r="G189" s="7">
        <v>3</v>
      </c>
      <c r="H189" s="6">
        <f t="shared" si="12"/>
        <v>1.61</v>
      </c>
      <c r="I189" s="6">
        <f t="shared" si="13"/>
        <v>1.562184</v>
      </c>
      <c r="J189" s="10">
        <f t="shared" si="14"/>
        <v>1.1582733812949642</v>
      </c>
    </row>
    <row r="190" spans="1:10" ht="12.75" x14ac:dyDescent="0.2">
      <c r="A190" s="9">
        <v>189</v>
      </c>
      <c r="B190" s="8" t="s">
        <v>196</v>
      </c>
      <c r="C190" s="8">
        <v>1</v>
      </c>
      <c r="D190" s="6">
        <v>1.75</v>
      </c>
      <c r="E190" s="6">
        <f t="shared" si="10"/>
        <v>1.75</v>
      </c>
      <c r="F190" s="6">
        <f t="shared" si="11"/>
        <v>1.8102</v>
      </c>
      <c r="G190" s="7">
        <v>3</v>
      </c>
      <c r="H190" s="6">
        <f t="shared" si="12"/>
        <v>1.25</v>
      </c>
      <c r="I190" s="6">
        <f t="shared" si="13"/>
        <v>1.1898</v>
      </c>
      <c r="J190" s="10">
        <f t="shared" si="14"/>
        <v>0.7142857142857143</v>
      </c>
    </row>
    <row r="191" spans="1:10" ht="12.75" x14ac:dyDescent="0.2">
      <c r="A191" s="9">
        <v>190</v>
      </c>
      <c r="B191" s="8" t="s">
        <v>197</v>
      </c>
      <c r="C191" s="8">
        <v>1</v>
      </c>
      <c r="D191" s="6">
        <v>2.09</v>
      </c>
      <c r="E191" s="6">
        <f t="shared" si="10"/>
        <v>2.09</v>
      </c>
      <c r="F191" s="6">
        <f t="shared" si="11"/>
        <v>2.161896</v>
      </c>
      <c r="G191" s="7">
        <v>3</v>
      </c>
      <c r="H191" s="6">
        <f t="shared" si="12"/>
        <v>0.91000000000000014</v>
      </c>
      <c r="I191" s="6">
        <f t="shared" si="13"/>
        <v>0.83810399999999996</v>
      </c>
      <c r="J191" s="10">
        <f t="shared" si="14"/>
        <v>0.43540669856459341</v>
      </c>
    </row>
    <row r="192" spans="1:10" ht="12.75" x14ac:dyDescent="0.2">
      <c r="A192" s="9">
        <v>191</v>
      </c>
      <c r="B192" s="8" t="s">
        <v>198</v>
      </c>
      <c r="C192" s="8">
        <v>1</v>
      </c>
      <c r="D192" s="6">
        <v>2.1</v>
      </c>
      <c r="E192" s="6">
        <f t="shared" si="10"/>
        <v>2.1</v>
      </c>
      <c r="F192" s="6">
        <f t="shared" si="11"/>
        <v>2.1722399999999999</v>
      </c>
      <c r="G192" s="7">
        <v>3</v>
      </c>
      <c r="H192" s="6">
        <f t="shared" si="12"/>
        <v>0.89999999999999991</v>
      </c>
      <c r="I192" s="6">
        <f t="shared" si="13"/>
        <v>0.82776000000000005</v>
      </c>
      <c r="J192" s="10">
        <f t="shared" si="14"/>
        <v>0.42857142857142849</v>
      </c>
    </row>
    <row r="193" spans="1:10" ht="12.75" x14ac:dyDescent="0.2">
      <c r="A193" s="9">
        <v>192</v>
      </c>
      <c r="B193" s="8" t="s">
        <v>199</v>
      </c>
      <c r="C193" s="8">
        <v>500</v>
      </c>
      <c r="D193" s="6">
        <v>45</v>
      </c>
      <c r="E193" s="6">
        <f t="shared" si="10"/>
        <v>0.09</v>
      </c>
      <c r="F193" s="6">
        <f t="shared" si="11"/>
        <v>9.3095999999999998E-2</v>
      </c>
      <c r="G193" s="7">
        <v>0.1</v>
      </c>
      <c r="H193" s="6">
        <f t="shared" si="12"/>
        <v>1.0000000000000009E-2</v>
      </c>
      <c r="I193" s="6">
        <f t="shared" si="13"/>
        <v>6.9040000000000074E-3</v>
      </c>
      <c r="J193" s="10">
        <f t="shared" si="14"/>
        <v>0.11111111111111122</v>
      </c>
    </row>
    <row r="194" spans="1:10" ht="12.75" x14ac:dyDescent="0.2">
      <c r="A194" s="9">
        <v>193</v>
      </c>
      <c r="B194" s="8" t="s">
        <v>200</v>
      </c>
      <c r="C194" s="8">
        <v>1</v>
      </c>
      <c r="D194" s="6">
        <v>2.19</v>
      </c>
      <c r="E194" s="6">
        <f t="shared" ref="E194:E232" si="15">D194/C194</f>
        <v>2.19</v>
      </c>
      <c r="F194" s="6">
        <f t="shared" si="11"/>
        <v>2.265336</v>
      </c>
      <c r="G194" s="7">
        <v>3</v>
      </c>
      <c r="H194" s="6">
        <f t="shared" si="12"/>
        <v>0.81</v>
      </c>
      <c r="I194" s="6">
        <f t="shared" si="13"/>
        <v>0.73466399999999998</v>
      </c>
      <c r="J194" s="10">
        <f t="shared" si="14"/>
        <v>0.36986301369863017</v>
      </c>
    </row>
    <row r="195" spans="1:10" ht="12.75" x14ac:dyDescent="0.2">
      <c r="A195" s="9">
        <v>194</v>
      </c>
      <c r="B195" s="8" t="s">
        <v>201</v>
      </c>
      <c r="C195" s="8">
        <v>1</v>
      </c>
      <c r="D195" s="6">
        <v>1.59</v>
      </c>
      <c r="E195" s="6">
        <f t="shared" si="15"/>
        <v>1.59</v>
      </c>
      <c r="F195" s="6">
        <f t="shared" ref="F195:F232" si="16">E195+(E195*3.44%)</f>
        <v>1.6446960000000002</v>
      </c>
      <c r="G195" s="7">
        <v>2.2999999999999998</v>
      </c>
      <c r="H195" s="6">
        <f t="shared" ref="H195:H232" si="17">G195-E195</f>
        <v>0.70999999999999974</v>
      </c>
      <c r="I195" s="6">
        <f t="shared" ref="I195:I232" si="18">G195-F195</f>
        <v>0.65530399999999966</v>
      </c>
      <c r="J195" s="10">
        <f t="shared" ref="J195:J232" si="19">H195/E195</f>
        <v>0.44654088050314444</v>
      </c>
    </row>
    <row r="196" spans="1:10" ht="12.75" x14ac:dyDescent="0.2">
      <c r="A196" s="9">
        <v>195</v>
      </c>
      <c r="B196" s="8" t="s">
        <v>202</v>
      </c>
      <c r="C196" s="8">
        <v>1</v>
      </c>
      <c r="D196" s="6">
        <v>2.59</v>
      </c>
      <c r="E196" s="6">
        <f t="shared" si="15"/>
        <v>2.59</v>
      </c>
      <c r="F196" s="6">
        <f t="shared" si="16"/>
        <v>2.6790959999999999</v>
      </c>
      <c r="G196" s="7">
        <v>3.5</v>
      </c>
      <c r="H196" s="6">
        <f t="shared" si="17"/>
        <v>0.91000000000000014</v>
      </c>
      <c r="I196" s="6">
        <f t="shared" si="18"/>
        <v>0.82090400000000008</v>
      </c>
      <c r="J196" s="10">
        <f t="shared" si="19"/>
        <v>0.35135135135135143</v>
      </c>
    </row>
    <row r="197" spans="1:10" ht="12.75" x14ac:dyDescent="0.2">
      <c r="A197" s="9">
        <v>196</v>
      </c>
      <c r="B197" s="8" t="s">
        <v>203</v>
      </c>
      <c r="C197" s="8">
        <v>1</v>
      </c>
      <c r="D197" s="6">
        <v>1.25</v>
      </c>
      <c r="E197" s="6">
        <f t="shared" si="15"/>
        <v>1.25</v>
      </c>
      <c r="F197" s="6">
        <f t="shared" si="16"/>
        <v>1.2929999999999999</v>
      </c>
      <c r="G197" s="7">
        <v>2</v>
      </c>
      <c r="H197" s="6">
        <f t="shared" si="17"/>
        <v>0.75</v>
      </c>
      <c r="I197" s="6">
        <f t="shared" si="18"/>
        <v>0.70700000000000007</v>
      </c>
      <c r="J197" s="10">
        <f t="shared" si="19"/>
        <v>0.6</v>
      </c>
    </row>
    <row r="198" spans="1:10" ht="12.75" x14ac:dyDescent="0.2">
      <c r="A198" s="9">
        <v>197</v>
      </c>
      <c r="B198" s="8" t="s">
        <v>204</v>
      </c>
      <c r="C198" s="8">
        <v>1</v>
      </c>
      <c r="D198" s="6">
        <v>2.4900000000000002</v>
      </c>
      <c r="E198" s="6">
        <f t="shared" si="15"/>
        <v>2.4900000000000002</v>
      </c>
      <c r="F198" s="6">
        <f t="shared" si="16"/>
        <v>2.5756560000000004</v>
      </c>
      <c r="G198" s="7">
        <v>3.5</v>
      </c>
      <c r="H198" s="6">
        <f t="shared" si="17"/>
        <v>1.0099999999999998</v>
      </c>
      <c r="I198" s="6">
        <f t="shared" si="18"/>
        <v>0.92434399999999961</v>
      </c>
      <c r="J198" s="10">
        <f t="shared" si="19"/>
        <v>0.40562248995983924</v>
      </c>
    </row>
    <row r="199" spans="1:10" ht="12.75" x14ac:dyDescent="0.2">
      <c r="A199" s="9">
        <v>198</v>
      </c>
      <c r="B199" s="8" t="s">
        <v>205</v>
      </c>
      <c r="C199" s="8">
        <v>1</v>
      </c>
      <c r="D199" s="6">
        <v>4.5</v>
      </c>
      <c r="E199" s="6">
        <f t="shared" si="15"/>
        <v>4.5</v>
      </c>
      <c r="F199" s="6">
        <f t="shared" si="16"/>
        <v>4.6547999999999998</v>
      </c>
      <c r="G199" s="7">
        <v>5.7</v>
      </c>
      <c r="H199" s="6">
        <f t="shared" si="17"/>
        <v>1.2000000000000002</v>
      </c>
      <c r="I199" s="6">
        <f t="shared" si="18"/>
        <v>1.0452000000000004</v>
      </c>
      <c r="J199" s="10">
        <f t="shared" si="19"/>
        <v>0.26666666666666672</v>
      </c>
    </row>
    <row r="200" spans="1:10" ht="12.75" x14ac:dyDescent="0.2">
      <c r="A200" s="9">
        <v>199</v>
      </c>
      <c r="B200" s="8" t="s">
        <v>206</v>
      </c>
      <c r="C200" s="8">
        <v>1</v>
      </c>
      <c r="D200" s="6">
        <v>5.15</v>
      </c>
      <c r="E200" s="6">
        <f t="shared" si="15"/>
        <v>5.15</v>
      </c>
      <c r="F200" s="6">
        <f t="shared" si="16"/>
        <v>5.3271600000000001</v>
      </c>
      <c r="G200" s="7">
        <v>6.15</v>
      </c>
      <c r="H200" s="6">
        <f t="shared" si="17"/>
        <v>1</v>
      </c>
      <c r="I200" s="6">
        <f t="shared" si="18"/>
        <v>0.82284000000000024</v>
      </c>
      <c r="J200" s="10">
        <f t="shared" si="19"/>
        <v>0.1941747572815534</v>
      </c>
    </row>
    <row r="201" spans="1:10" ht="12.75" x14ac:dyDescent="0.2">
      <c r="A201" s="9">
        <v>200</v>
      </c>
      <c r="B201" s="8" t="s">
        <v>207</v>
      </c>
      <c r="C201" s="8">
        <v>1</v>
      </c>
      <c r="D201" s="6">
        <v>3.45</v>
      </c>
      <c r="E201" s="6">
        <f t="shared" si="15"/>
        <v>3.45</v>
      </c>
      <c r="F201" s="6">
        <f t="shared" si="16"/>
        <v>3.5686800000000001</v>
      </c>
      <c r="G201" s="7">
        <v>4.5</v>
      </c>
      <c r="H201" s="6">
        <f t="shared" si="17"/>
        <v>1.0499999999999998</v>
      </c>
      <c r="I201" s="6">
        <f t="shared" si="18"/>
        <v>0.93131999999999993</v>
      </c>
      <c r="J201" s="10">
        <f t="shared" si="19"/>
        <v>0.30434782608695643</v>
      </c>
    </row>
    <row r="202" spans="1:10" ht="12.75" x14ac:dyDescent="0.2">
      <c r="A202" s="9">
        <v>201</v>
      </c>
      <c r="B202" s="8" t="s">
        <v>208</v>
      </c>
      <c r="C202" s="8">
        <v>1</v>
      </c>
      <c r="D202" s="6">
        <v>4.99</v>
      </c>
      <c r="E202" s="6">
        <f t="shared" si="15"/>
        <v>4.99</v>
      </c>
      <c r="F202" s="6">
        <f t="shared" si="16"/>
        <v>5.1616559999999998</v>
      </c>
      <c r="G202" s="7">
        <v>6.1</v>
      </c>
      <c r="H202" s="6">
        <f t="shared" si="17"/>
        <v>1.1099999999999994</v>
      </c>
      <c r="I202" s="6">
        <f t="shared" si="18"/>
        <v>0.93834399999999984</v>
      </c>
      <c r="J202" s="10">
        <f t="shared" si="19"/>
        <v>0.22244488977955901</v>
      </c>
    </row>
    <row r="203" spans="1:10" ht="12.75" x14ac:dyDescent="0.2">
      <c r="A203" s="9">
        <v>202</v>
      </c>
      <c r="B203" s="8" t="s">
        <v>209</v>
      </c>
      <c r="C203" s="8">
        <v>1</v>
      </c>
      <c r="D203" s="6">
        <v>4.09</v>
      </c>
      <c r="E203" s="6">
        <f t="shared" si="15"/>
        <v>4.09</v>
      </c>
      <c r="F203" s="6">
        <f t="shared" si="16"/>
        <v>4.230696</v>
      </c>
      <c r="G203" s="7">
        <v>5.5</v>
      </c>
      <c r="H203" s="6">
        <f t="shared" si="17"/>
        <v>1.4100000000000001</v>
      </c>
      <c r="I203" s="6">
        <f t="shared" si="18"/>
        <v>1.269304</v>
      </c>
      <c r="J203" s="10">
        <f t="shared" si="19"/>
        <v>0.34474327628361862</v>
      </c>
    </row>
    <row r="204" spans="1:10" ht="12.75" x14ac:dyDescent="0.2">
      <c r="A204" s="9">
        <v>203</v>
      </c>
      <c r="B204" s="8" t="s">
        <v>210</v>
      </c>
      <c r="C204" s="8">
        <v>1</v>
      </c>
      <c r="D204" s="6">
        <v>4.3899999999999997</v>
      </c>
      <c r="E204" s="6">
        <f t="shared" si="15"/>
        <v>4.3899999999999997</v>
      </c>
      <c r="F204" s="6">
        <f t="shared" si="16"/>
        <v>4.5410159999999999</v>
      </c>
      <c r="G204" s="7">
        <v>5.5</v>
      </c>
      <c r="H204" s="6">
        <f t="shared" si="17"/>
        <v>1.1100000000000003</v>
      </c>
      <c r="I204" s="6">
        <f t="shared" si="18"/>
        <v>0.95898400000000006</v>
      </c>
      <c r="J204" s="10">
        <f t="shared" si="19"/>
        <v>0.25284738041002286</v>
      </c>
    </row>
    <row r="205" spans="1:10" ht="12.75" x14ac:dyDescent="0.2">
      <c r="A205" s="9">
        <v>204</v>
      </c>
      <c r="B205" s="8" t="s">
        <v>211</v>
      </c>
      <c r="C205" s="8">
        <v>1</v>
      </c>
      <c r="D205" s="6">
        <v>3.85</v>
      </c>
      <c r="E205" s="6">
        <f t="shared" si="15"/>
        <v>3.85</v>
      </c>
      <c r="F205" s="6">
        <f t="shared" si="16"/>
        <v>3.98244</v>
      </c>
      <c r="G205" s="7">
        <v>5</v>
      </c>
      <c r="H205" s="6">
        <f t="shared" si="17"/>
        <v>1.1499999999999999</v>
      </c>
      <c r="I205" s="6">
        <f t="shared" si="18"/>
        <v>1.01756</v>
      </c>
      <c r="J205" s="10">
        <f t="shared" si="19"/>
        <v>0.29870129870129869</v>
      </c>
    </row>
    <row r="206" spans="1:10" ht="12.75" x14ac:dyDescent="0.2">
      <c r="A206" s="9">
        <v>205</v>
      </c>
      <c r="B206" s="8" t="s">
        <v>212</v>
      </c>
      <c r="C206" s="8">
        <v>1</v>
      </c>
      <c r="D206" s="6">
        <v>1.02</v>
      </c>
      <c r="E206" s="6">
        <f t="shared" si="15"/>
        <v>1.02</v>
      </c>
      <c r="F206" s="6">
        <f t="shared" si="16"/>
        <v>1.055088</v>
      </c>
      <c r="G206" s="7">
        <v>2</v>
      </c>
      <c r="H206" s="6">
        <f t="shared" si="17"/>
        <v>0.98</v>
      </c>
      <c r="I206" s="6">
        <f t="shared" si="18"/>
        <v>0.94491199999999997</v>
      </c>
      <c r="J206" s="10">
        <f t="shared" si="19"/>
        <v>0.96078431372549011</v>
      </c>
    </row>
    <row r="207" spans="1:10" ht="12.75" x14ac:dyDescent="0.2">
      <c r="A207" s="9">
        <v>206</v>
      </c>
      <c r="B207" s="8" t="s">
        <v>213</v>
      </c>
      <c r="C207" s="8">
        <v>1</v>
      </c>
      <c r="D207" s="6">
        <v>3.99</v>
      </c>
      <c r="E207" s="6">
        <f t="shared" si="15"/>
        <v>3.99</v>
      </c>
      <c r="F207" s="6">
        <f t="shared" si="16"/>
        <v>4.127256</v>
      </c>
      <c r="G207" s="7">
        <v>6</v>
      </c>
      <c r="H207" s="6">
        <f t="shared" si="17"/>
        <v>2.0099999999999998</v>
      </c>
      <c r="I207" s="6">
        <f t="shared" si="18"/>
        <v>1.872744</v>
      </c>
      <c r="J207" s="10">
        <f t="shared" si="19"/>
        <v>0.50375939849624052</v>
      </c>
    </row>
    <row r="208" spans="1:10" ht="12.75" x14ac:dyDescent="0.2">
      <c r="A208" s="9">
        <v>207</v>
      </c>
      <c r="B208" s="8" t="s">
        <v>214</v>
      </c>
      <c r="C208" s="8">
        <v>1</v>
      </c>
      <c r="D208" s="6">
        <v>0.49</v>
      </c>
      <c r="E208" s="6">
        <f t="shared" si="15"/>
        <v>0.49</v>
      </c>
      <c r="F208" s="6">
        <f t="shared" si="16"/>
        <v>0.50685599999999997</v>
      </c>
      <c r="G208" s="7">
        <v>1</v>
      </c>
      <c r="H208" s="6">
        <f t="shared" si="17"/>
        <v>0.51</v>
      </c>
      <c r="I208" s="6">
        <f t="shared" si="18"/>
        <v>0.49314400000000003</v>
      </c>
      <c r="J208" s="10">
        <f t="shared" si="19"/>
        <v>1.0408163265306123</v>
      </c>
    </row>
    <row r="209" spans="1:10" ht="12.75" x14ac:dyDescent="0.2">
      <c r="A209" s="9">
        <v>208</v>
      </c>
      <c r="B209" s="8" t="s">
        <v>215</v>
      </c>
      <c r="C209" s="8">
        <v>1</v>
      </c>
      <c r="D209" s="6">
        <v>0.69</v>
      </c>
      <c r="E209" s="6">
        <f t="shared" si="15"/>
        <v>0.69</v>
      </c>
      <c r="F209" s="6">
        <f t="shared" si="16"/>
        <v>0.71373599999999993</v>
      </c>
      <c r="G209" s="7">
        <v>1.4</v>
      </c>
      <c r="H209" s="6">
        <f t="shared" si="17"/>
        <v>0.71</v>
      </c>
      <c r="I209" s="6">
        <f t="shared" si="18"/>
        <v>0.68626399999999999</v>
      </c>
      <c r="J209" s="10">
        <f t="shared" si="19"/>
        <v>1.0289855072463769</v>
      </c>
    </row>
    <row r="210" spans="1:10" ht="12.75" x14ac:dyDescent="0.2">
      <c r="A210" s="9">
        <v>209</v>
      </c>
      <c r="B210" s="8" t="s">
        <v>216</v>
      </c>
      <c r="C210" s="8">
        <v>1</v>
      </c>
      <c r="D210" s="6">
        <v>2.89</v>
      </c>
      <c r="E210" s="6">
        <f t="shared" si="15"/>
        <v>2.89</v>
      </c>
      <c r="F210" s="6">
        <f t="shared" si="16"/>
        <v>2.9894160000000003</v>
      </c>
      <c r="G210" s="7">
        <v>5.5</v>
      </c>
      <c r="H210" s="6">
        <f t="shared" si="17"/>
        <v>2.61</v>
      </c>
      <c r="I210" s="6">
        <f t="shared" si="18"/>
        <v>2.5105839999999997</v>
      </c>
      <c r="J210" s="10">
        <f t="shared" si="19"/>
        <v>0.90311418685121103</v>
      </c>
    </row>
    <row r="211" spans="1:10" ht="12.75" x14ac:dyDescent="0.2">
      <c r="A211" s="9">
        <v>210</v>
      </c>
      <c r="B211" s="8" t="s">
        <v>217</v>
      </c>
      <c r="C211" s="8">
        <v>1</v>
      </c>
      <c r="D211" s="6">
        <v>3.35</v>
      </c>
      <c r="E211" s="6">
        <f t="shared" si="15"/>
        <v>3.35</v>
      </c>
      <c r="F211" s="6">
        <f t="shared" si="16"/>
        <v>3.4652400000000001</v>
      </c>
      <c r="G211" s="7">
        <v>5</v>
      </c>
      <c r="H211" s="6">
        <f t="shared" si="17"/>
        <v>1.65</v>
      </c>
      <c r="I211" s="6">
        <f t="shared" si="18"/>
        <v>1.5347599999999999</v>
      </c>
      <c r="J211" s="10">
        <f t="shared" si="19"/>
        <v>0.4925373134328358</v>
      </c>
    </row>
    <row r="212" spans="1:10" ht="12.75" x14ac:dyDescent="0.2">
      <c r="A212" s="9">
        <v>211</v>
      </c>
      <c r="B212" s="8" t="s">
        <v>218</v>
      </c>
      <c r="C212" s="8">
        <v>1</v>
      </c>
      <c r="D212" s="6">
        <v>0.89</v>
      </c>
      <c r="E212" s="6">
        <f t="shared" si="15"/>
        <v>0.89</v>
      </c>
      <c r="F212" s="6">
        <f t="shared" si="16"/>
        <v>0.92061599999999999</v>
      </c>
      <c r="G212" s="7">
        <v>1.5</v>
      </c>
      <c r="H212" s="6">
        <f t="shared" si="17"/>
        <v>0.61</v>
      </c>
      <c r="I212" s="6">
        <f t="shared" si="18"/>
        <v>0.57938400000000001</v>
      </c>
      <c r="J212" s="10">
        <f t="shared" si="19"/>
        <v>0.6853932584269663</v>
      </c>
    </row>
    <row r="213" spans="1:10" ht="12.75" x14ac:dyDescent="0.2">
      <c r="A213" s="9">
        <v>212</v>
      </c>
      <c r="B213" s="8" t="s">
        <v>219</v>
      </c>
      <c r="C213" s="8">
        <v>15</v>
      </c>
      <c r="D213" s="6">
        <v>12.75</v>
      </c>
      <c r="E213" s="6">
        <f t="shared" si="15"/>
        <v>0.85</v>
      </c>
      <c r="F213" s="6">
        <f t="shared" si="16"/>
        <v>0.87924000000000002</v>
      </c>
      <c r="G213" s="7">
        <f>1.5</f>
        <v>1.5</v>
      </c>
      <c r="H213" s="6">
        <f t="shared" si="17"/>
        <v>0.65</v>
      </c>
      <c r="I213" s="6">
        <f t="shared" si="18"/>
        <v>0.62075999999999998</v>
      </c>
      <c r="J213" s="10">
        <f t="shared" si="19"/>
        <v>0.76470588235294124</v>
      </c>
    </row>
    <row r="214" spans="1:10" ht="12.75" x14ac:dyDescent="0.2">
      <c r="A214" s="9">
        <v>213</v>
      </c>
      <c r="B214" s="8" t="s">
        <v>220</v>
      </c>
      <c r="C214" s="8">
        <v>1</v>
      </c>
      <c r="D214" s="6">
        <v>4.09</v>
      </c>
      <c r="E214" s="6">
        <f t="shared" si="15"/>
        <v>4.09</v>
      </c>
      <c r="F214" s="6">
        <f t="shared" si="16"/>
        <v>4.230696</v>
      </c>
      <c r="G214" s="7">
        <v>5.4</v>
      </c>
      <c r="H214" s="6">
        <f t="shared" si="17"/>
        <v>1.3100000000000005</v>
      </c>
      <c r="I214" s="6">
        <f t="shared" si="18"/>
        <v>1.1693040000000003</v>
      </c>
      <c r="J214" s="10">
        <f t="shared" si="19"/>
        <v>0.32029339853300748</v>
      </c>
    </row>
    <row r="215" spans="1:10" ht="12.75" x14ac:dyDescent="0.2">
      <c r="A215" s="9">
        <v>214</v>
      </c>
      <c r="B215" s="8" t="s">
        <v>221</v>
      </c>
      <c r="C215" s="8">
        <v>1</v>
      </c>
      <c r="D215" s="6">
        <v>4.05</v>
      </c>
      <c r="E215" s="6">
        <f t="shared" si="15"/>
        <v>4.05</v>
      </c>
      <c r="F215" s="6">
        <f t="shared" si="16"/>
        <v>4.1893199999999995</v>
      </c>
      <c r="G215" s="7">
        <v>5</v>
      </c>
      <c r="H215" s="6">
        <f t="shared" si="17"/>
        <v>0.95000000000000018</v>
      </c>
      <c r="I215" s="6">
        <f t="shared" si="18"/>
        <v>0.81068000000000051</v>
      </c>
      <c r="J215" s="10">
        <f t="shared" si="19"/>
        <v>0.23456790123456794</v>
      </c>
    </row>
    <row r="216" spans="1:10" ht="12.75" x14ac:dyDescent="0.2">
      <c r="A216" s="9">
        <v>215</v>
      </c>
      <c r="B216" s="8" t="s">
        <v>222</v>
      </c>
      <c r="C216" s="8">
        <v>1</v>
      </c>
      <c r="D216" s="6">
        <v>2.59</v>
      </c>
      <c r="E216" s="6">
        <f t="shared" si="15"/>
        <v>2.59</v>
      </c>
      <c r="F216" s="6">
        <f t="shared" si="16"/>
        <v>2.6790959999999999</v>
      </c>
      <c r="G216" s="7">
        <v>3.5</v>
      </c>
      <c r="H216" s="6">
        <f t="shared" si="17"/>
        <v>0.91000000000000014</v>
      </c>
      <c r="I216" s="6">
        <f t="shared" si="18"/>
        <v>0.82090400000000008</v>
      </c>
      <c r="J216" s="10">
        <f t="shared" si="19"/>
        <v>0.35135135135135143</v>
      </c>
    </row>
    <row r="217" spans="1:10" ht="12.75" x14ac:dyDescent="0.2">
      <c r="A217" s="9">
        <v>216</v>
      </c>
      <c r="B217" s="8" t="s">
        <v>223</v>
      </c>
      <c r="C217" s="8">
        <v>8</v>
      </c>
      <c r="D217" s="6">
        <v>8.9</v>
      </c>
      <c r="E217" s="6">
        <f t="shared" si="15"/>
        <v>1.1125</v>
      </c>
      <c r="F217" s="6">
        <f t="shared" si="16"/>
        <v>1.1507700000000001</v>
      </c>
      <c r="G217" s="7">
        <v>1.7</v>
      </c>
      <c r="H217" s="6">
        <f t="shared" si="17"/>
        <v>0.58749999999999991</v>
      </c>
      <c r="I217" s="6">
        <f t="shared" si="18"/>
        <v>0.54922999999999988</v>
      </c>
      <c r="J217" s="10">
        <f t="shared" si="19"/>
        <v>0.52808988764044928</v>
      </c>
    </row>
    <row r="218" spans="1:10" ht="12.75" x14ac:dyDescent="0.2">
      <c r="A218" s="9">
        <v>217</v>
      </c>
      <c r="B218" s="8" t="s">
        <v>224</v>
      </c>
      <c r="C218" s="8">
        <v>1</v>
      </c>
      <c r="D218" s="6">
        <v>1.05</v>
      </c>
      <c r="E218" s="6">
        <f t="shared" si="15"/>
        <v>1.05</v>
      </c>
      <c r="F218" s="6">
        <f t="shared" si="16"/>
        <v>1.08612</v>
      </c>
      <c r="G218" s="7">
        <v>2.8</v>
      </c>
      <c r="H218" s="6">
        <f t="shared" si="17"/>
        <v>1.7499999999999998</v>
      </c>
      <c r="I218" s="6">
        <f t="shared" si="18"/>
        <v>1.7138799999999998</v>
      </c>
      <c r="J218" s="10">
        <f t="shared" si="19"/>
        <v>1.6666666666666663</v>
      </c>
    </row>
    <row r="219" spans="1:10" ht="12.75" x14ac:dyDescent="0.2">
      <c r="A219" s="9">
        <v>218</v>
      </c>
      <c r="B219" s="8" t="s">
        <v>225</v>
      </c>
      <c r="C219" s="8">
        <v>1</v>
      </c>
      <c r="D219" s="6">
        <v>1.05</v>
      </c>
      <c r="E219" s="6">
        <f t="shared" si="15"/>
        <v>1.05</v>
      </c>
      <c r="F219" s="6">
        <f t="shared" si="16"/>
        <v>1.08612</v>
      </c>
      <c r="G219" s="7">
        <v>2.5</v>
      </c>
      <c r="H219" s="6">
        <f t="shared" si="17"/>
        <v>1.45</v>
      </c>
      <c r="I219" s="6">
        <f t="shared" si="18"/>
        <v>1.41388</v>
      </c>
      <c r="J219" s="10">
        <f t="shared" si="19"/>
        <v>1.3809523809523809</v>
      </c>
    </row>
    <row r="220" spans="1:10" ht="12.75" x14ac:dyDescent="0.2">
      <c r="A220" s="9">
        <v>219</v>
      </c>
      <c r="B220" s="8" t="s">
        <v>226</v>
      </c>
      <c r="C220" s="8">
        <v>30</v>
      </c>
      <c r="D220" s="6">
        <v>11.9</v>
      </c>
      <c r="E220" s="6">
        <f t="shared" si="15"/>
        <v>0.39666666666666667</v>
      </c>
      <c r="F220" s="6">
        <f t="shared" si="16"/>
        <v>0.41031200000000001</v>
      </c>
      <c r="G220" s="7">
        <v>0.7</v>
      </c>
      <c r="H220" s="6">
        <f t="shared" si="17"/>
        <v>0.30333333333333329</v>
      </c>
      <c r="I220" s="6">
        <f t="shared" si="18"/>
        <v>0.28968799999999995</v>
      </c>
      <c r="J220" s="10">
        <f t="shared" si="19"/>
        <v>0.76470588235294101</v>
      </c>
    </row>
    <row r="221" spans="1:10" ht="12.75" x14ac:dyDescent="0.2">
      <c r="A221" s="9">
        <v>220</v>
      </c>
      <c r="B221" s="8" t="s">
        <v>227</v>
      </c>
      <c r="C221" s="8">
        <v>1</v>
      </c>
      <c r="D221" s="6">
        <v>2.7</v>
      </c>
      <c r="E221" s="6">
        <f t="shared" si="15"/>
        <v>2.7</v>
      </c>
      <c r="F221" s="6">
        <f t="shared" si="16"/>
        <v>2.7928800000000003</v>
      </c>
      <c r="G221" s="7">
        <v>8</v>
      </c>
      <c r="H221" s="6">
        <f t="shared" si="17"/>
        <v>5.3</v>
      </c>
      <c r="I221" s="6">
        <f t="shared" si="18"/>
        <v>5.2071199999999997</v>
      </c>
      <c r="J221" s="10">
        <f t="shared" si="19"/>
        <v>1.9629629629629628</v>
      </c>
    </row>
    <row r="222" spans="1:10" ht="12.75" x14ac:dyDescent="0.2">
      <c r="A222" s="9">
        <v>221</v>
      </c>
      <c r="B222" s="8" t="s">
        <v>228</v>
      </c>
      <c r="C222" s="8">
        <v>1</v>
      </c>
      <c r="D222" s="6"/>
      <c r="E222" s="6">
        <f t="shared" si="15"/>
        <v>0</v>
      </c>
      <c r="F222" s="6">
        <f t="shared" si="16"/>
        <v>0</v>
      </c>
      <c r="G222" s="7">
        <v>20</v>
      </c>
      <c r="H222" s="6">
        <f t="shared" si="17"/>
        <v>20</v>
      </c>
      <c r="I222" s="6">
        <f t="shared" si="18"/>
        <v>20</v>
      </c>
      <c r="J222" s="10" t="e">
        <f t="shared" si="19"/>
        <v>#DIV/0!</v>
      </c>
    </row>
    <row r="223" spans="1:10" ht="12.75" x14ac:dyDescent="0.2">
      <c r="A223" s="9">
        <v>222</v>
      </c>
      <c r="B223" s="8" t="s">
        <v>229</v>
      </c>
      <c r="C223" s="8">
        <v>1</v>
      </c>
      <c r="D223" s="6">
        <v>7.77</v>
      </c>
      <c r="E223" s="6">
        <f t="shared" si="15"/>
        <v>7.77</v>
      </c>
      <c r="F223" s="6">
        <f t="shared" si="16"/>
        <v>8.0372880000000002</v>
      </c>
      <c r="G223" s="7">
        <v>10</v>
      </c>
      <c r="H223" s="6">
        <f t="shared" si="17"/>
        <v>2.2300000000000004</v>
      </c>
      <c r="I223" s="6">
        <f t="shared" si="18"/>
        <v>1.9627119999999998</v>
      </c>
      <c r="J223" s="10">
        <f t="shared" si="19"/>
        <v>0.28700128700128708</v>
      </c>
    </row>
    <row r="224" spans="1:10" ht="12.75" x14ac:dyDescent="0.2">
      <c r="A224" s="9">
        <v>223</v>
      </c>
      <c r="B224" s="8" t="s">
        <v>230</v>
      </c>
      <c r="C224" s="8">
        <v>1</v>
      </c>
      <c r="D224" s="6">
        <v>5.72</v>
      </c>
      <c r="E224" s="6">
        <f t="shared" si="15"/>
        <v>5.72</v>
      </c>
      <c r="F224" s="6">
        <f t="shared" si="16"/>
        <v>5.9167679999999994</v>
      </c>
      <c r="G224" s="7">
        <v>8</v>
      </c>
      <c r="H224" s="6">
        <f t="shared" si="17"/>
        <v>2.2800000000000002</v>
      </c>
      <c r="I224" s="6">
        <f t="shared" si="18"/>
        <v>2.0832320000000006</v>
      </c>
      <c r="J224" s="10">
        <f t="shared" si="19"/>
        <v>0.39860139860139865</v>
      </c>
    </row>
    <row r="225" spans="1:10" ht="12.75" x14ac:dyDescent="0.2">
      <c r="A225" s="9">
        <v>224</v>
      </c>
      <c r="B225" s="8" t="s">
        <v>231</v>
      </c>
      <c r="C225" s="8">
        <v>1</v>
      </c>
      <c r="D225" s="6">
        <v>0.99</v>
      </c>
      <c r="E225" s="6">
        <f t="shared" si="15"/>
        <v>0.99</v>
      </c>
      <c r="F225" s="6">
        <f t="shared" si="16"/>
        <v>1.0240560000000001</v>
      </c>
      <c r="G225" s="7">
        <v>1.7</v>
      </c>
      <c r="H225" s="6">
        <f t="shared" si="17"/>
        <v>0.71</v>
      </c>
      <c r="I225" s="6">
        <f t="shared" si="18"/>
        <v>0.67594399999999988</v>
      </c>
      <c r="J225" s="10">
        <f t="shared" si="19"/>
        <v>0.71717171717171713</v>
      </c>
    </row>
    <row r="226" spans="1:10" ht="12.75" x14ac:dyDescent="0.2">
      <c r="A226" s="9">
        <v>225</v>
      </c>
      <c r="B226" s="8" t="s">
        <v>232</v>
      </c>
      <c r="C226" s="8">
        <v>1</v>
      </c>
      <c r="D226" s="6">
        <v>9.7899999999999991</v>
      </c>
      <c r="E226" s="6">
        <f t="shared" si="15"/>
        <v>9.7899999999999991</v>
      </c>
      <c r="F226" s="6">
        <f t="shared" si="16"/>
        <v>10.126776</v>
      </c>
      <c r="G226" s="7">
        <v>11</v>
      </c>
      <c r="H226" s="6">
        <f t="shared" si="17"/>
        <v>1.2100000000000009</v>
      </c>
      <c r="I226" s="6">
        <f t="shared" si="18"/>
        <v>0.87322400000000044</v>
      </c>
      <c r="J226" s="10">
        <f t="shared" si="19"/>
        <v>0.12359550561797762</v>
      </c>
    </row>
    <row r="227" spans="1:10" ht="12.75" x14ac:dyDescent="0.2">
      <c r="A227" s="9">
        <v>226</v>
      </c>
      <c r="B227" s="8" t="s">
        <v>233</v>
      </c>
      <c r="C227" s="8">
        <v>1</v>
      </c>
      <c r="D227" s="6">
        <v>3.65</v>
      </c>
      <c r="E227" s="6">
        <f t="shared" si="15"/>
        <v>3.65</v>
      </c>
      <c r="F227" s="6">
        <f t="shared" si="16"/>
        <v>3.77556</v>
      </c>
      <c r="G227" s="7">
        <v>5</v>
      </c>
      <c r="H227" s="6">
        <f t="shared" si="17"/>
        <v>1.35</v>
      </c>
      <c r="I227" s="6">
        <f t="shared" si="18"/>
        <v>1.22444</v>
      </c>
      <c r="J227" s="10">
        <f t="shared" si="19"/>
        <v>0.36986301369863017</v>
      </c>
    </row>
    <row r="228" spans="1:10" ht="12.75" x14ac:dyDescent="0.2">
      <c r="A228" s="9">
        <v>227</v>
      </c>
      <c r="B228" s="8" t="s">
        <v>234</v>
      </c>
      <c r="C228" s="8">
        <v>1</v>
      </c>
      <c r="D228" s="6">
        <v>5.05</v>
      </c>
      <c r="E228" s="6">
        <f t="shared" si="15"/>
        <v>5.05</v>
      </c>
      <c r="F228" s="6">
        <f t="shared" si="16"/>
        <v>5.2237200000000001</v>
      </c>
      <c r="G228" s="7">
        <v>7.5</v>
      </c>
      <c r="H228" s="6">
        <f t="shared" si="17"/>
        <v>2.4500000000000002</v>
      </c>
      <c r="I228" s="6">
        <f t="shared" si="18"/>
        <v>2.2762799999999999</v>
      </c>
      <c r="J228" s="10">
        <f t="shared" si="19"/>
        <v>0.48514851485148519</v>
      </c>
    </row>
    <row r="229" spans="1:10" ht="12.75" x14ac:dyDescent="0.2">
      <c r="A229" s="9">
        <v>228</v>
      </c>
      <c r="B229" s="8" t="s">
        <v>235</v>
      </c>
      <c r="C229" s="8">
        <v>10</v>
      </c>
      <c r="D229" s="6">
        <v>35</v>
      </c>
      <c r="E229" s="6">
        <f t="shared" si="15"/>
        <v>3.5</v>
      </c>
      <c r="F229" s="6">
        <f t="shared" si="16"/>
        <v>3.6204000000000001</v>
      </c>
      <c r="G229" s="7">
        <v>5</v>
      </c>
      <c r="H229" s="6">
        <f t="shared" si="17"/>
        <v>1.5</v>
      </c>
      <c r="I229" s="6">
        <f t="shared" si="18"/>
        <v>1.3795999999999999</v>
      </c>
      <c r="J229" s="10">
        <f t="shared" si="19"/>
        <v>0.42857142857142855</v>
      </c>
    </row>
    <row r="230" spans="1:10" ht="12.75" x14ac:dyDescent="0.2">
      <c r="A230" s="9">
        <v>229</v>
      </c>
      <c r="B230" s="8" t="s">
        <v>6</v>
      </c>
      <c r="C230" s="8">
        <v>1</v>
      </c>
      <c r="D230" s="6">
        <v>5.79</v>
      </c>
      <c r="E230" s="6">
        <f t="shared" si="15"/>
        <v>5.79</v>
      </c>
      <c r="F230" s="6">
        <f t="shared" si="16"/>
        <v>5.9891759999999996</v>
      </c>
      <c r="G230" s="7">
        <v>6.8</v>
      </c>
      <c r="H230" s="6">
        <f t="shared" si="17"/>
        <v>1.0099999999999998</v>
      </c>
      <c r="I230" s="6">
        <f t="shared" si="18"/>
        <v>0.81082400000000021</v>
      </c>
      <c r="J230" s="10">
        <f t="shared" si="19"/>
        <v>0.17443868739205523</v>
      </c>
    </row>
    <row r="231" spans="1:10" ht="12.75" x14ac:dyDescent="0.2">
      <c r="A231" s="9">
        <v>230</v>
      </c>
      <c r="B231" s="8" t="s">
        <v>151</v>
      </c>
      <c r="C231" s="8">
        <v>1</v>
      </c>
      <c r="D231" s="6">
        <v>11.5</v>
      </c>
      <c r="E231" s="6">
        <f t="shared" si="15"/>
        <v>11.5</v>
      </c>
      <c r="F231" s="6">
        <f t="shared" si="16"/>
        <v>11.8956</v>
      </c>
      <c r="G231" s="7">
        <v>20</v>
      </c>
      <c r="H231" s="6">
        <f t="shared" si="17"/>
        <v>8.5</v>
      </c>
      <c r="I231" s="6">
        <f t="shared" si="18"/>
        <v>8.1044</v>
      </c>
      <c r="J231" s="10">
        <f t="shared" si="19"/>
        <v>0.73913043478260865</v>
      </c>
    </row>
    <row r="232" spans="1:10" ht="12.75" x14ac:dyDescent="0.2">
      <c r="A232" s="9">
        <v>231</v>
      </c>
      <c r="B232" s="8" t="s">
        <v>240</v>
      </c>
      <c r="C232" s="8">
        <v>1</v>
      </c>
      <c r="D232" s="6">
        <v>115</v>
      </c>
      <c r="E232" s="6">
        <f t="shared" si="15"/>
        <v>115</v>
      </c>
      <c r="F232" s="6">
        <f t="shared" si="16"/>
        <v>118.956</v>
      </c>
      <c r="G232" s="7">
        <v>125</v>
      </c>
      <c r="H232" s="6">
        <f t="shared" si="17"/>
        <v>10</v>
      </c>
      <c r="I232" s="6">
        <f t="shared" si="18"/>
        <v>6.0439999999999969</v>
      </c>
      <c r="J232" s="10">
        <f t="shared" si="19"/>
        <v>8.6956521739130432E-2</v>
      </c>
    </row>
    <row r="233" spans="1:10" ht="12.75" x14ac:dyDescent="0.2">
      <c r="D233" s="6"/>
      <c r="E233" s="6"/>
      <c r="F233" s="6"/>
      <c r="G233" s="7"/>
      <c r="H233" s="6"/>
      <c r="I233" s="6"/>
    </row>
    <row r="234" spans="1:10" ht="12.75" x14ac:dyDescent="0.2">
      <c r="D234" s="6"/>
      <c r="E234" s="6"/>
      <c r="F234" s="6"/>
      <c r="G234" s="7"/>
      <c r="H234" s="6"/>
      <c r="I234" s="6"/>
    </row>
    <row r="235" spans="1:10" ht="12.75" x14ac:dyDescent="0.2">
      <c r="D235" s="6"/>
      <c r="E235" s="6"/>
      <c r="F235" s="6"/>
      <c r="G235" s="7"/>
      <c r="H235" s="6"/>
      <c r="I235" s="6"/>
    </row>
    <row r="236" spans="1:10" ht="12.75" x14ac:dyDescent="0.2">
      <c r="D236" s="6"/>
      <c r="E236" s="6"/>
      <c r="F236" s="6"/>
      <c r="G236" s="7"/>
      <c r="H236" s="6"/>
      <c r="I236" s="6"/>
    </row>
    <row r="237" spans="1:10" ht="12.75" x14ac:dyDescent="0.2">
      <c r="D237" s="6"/>
      <c r="E237" s="6"/>
      <c r="F237" s="6"/>
      <c r="G237" s="7"/>
      <c r="H237" s="6"/>
      <c r="I237" s="6"/>
    </row>
    <row r="238" spans="1:10" ht="12.75" x14ac:dyDescent="0.2">
      <c r="D238" s="6"/>
      <c r="E238" s="6"/>
      <c r="F238" s="6"/>
      <c r="G238" s="7"/>
      <c r="H238" s="6"/>
      <c r="I238" s="6"/>
    </row>
    <row r="239" spans="1:10" ht="12.75" x14ac:dyDescent="0.2">
      <c r="D239" s="6"/>
      <c r="E239" s="6"/>
      <c r="F239" s="6"/>
      <c r="G239" s="7"/>
      <c r="H239" s="6"/>
      <c r="I239" s="6"/>
    </row>
    <row r="240" spans="1:10" ht="12.75" x14ac:dyDescent="0.2">
      <c r="D240" s="6"/>
      <c r="E240" s="6"/>
      <c r="F240" s="6"/>
      <c r="G240" s="7"/>
      <c r="H240" s="6"/>
      <c r="I240" s="6"/>
    </row>
    <row r="241" spans="4:9" ht="12.75" x14ac:dyDescent="0.2">
      <c r="D241" s="6"/>
      <c r="G241" s="7"/>
      <c r="H241" s="6"/>
      <c r="I241" s="6"/>
    </row>
    <row r="242" spans="4:9" ht="12.75" x14ac:dyDescent="0.2">
      <c r="D242" s="6"/>
      <c r="G242" s="7"/>
      <c r="H242" s="6"/>
      <c r="I242" s="6"/>
    </row>
    <row r="243" spans="4:9" ht="12.75" x14ac:dyDescent="0.2">
      <c r="D243" s="6"/>
      <c r="G243" s="7"/>
      <c r="H243" s="6"/>
      <c r="I243" s="6"/>
    </row>
    <row r="244" spans="4:9" ht="12.75" x14ac:dyDescent="0.2">
      <c r="D244" s="6"/>
      <c r="G244" s="7"/>
      <c r="H244" s="6"/>
      <c r="I244" s="6"/>
    </row>
    <row r="245" spans="4:9" ht="12.75" x14ac:dyDescent="0.2">
      <c r="D245" s="6"/>
      <c r="G245" s="7"/>
      <c r="I245" s="6"/>
    </row>
    <row r="246" spans="4:9" ht="12.75" x14ac:dyDescent="0.2">
      <c r="D246" s="6"/>
      <c r="G246" s="7"/>
      <c r="I246" s="6"/>
    </row>
    <row r="247" spans="4:9" ht="12.75" x14ac:dyDescent="0.2">
      <c r="D247" s="6"/>
      <c r="G247" s="7"/>
      <c r="I247" s="6"/>
    </row>
    <row r="248" spans="4:9" ht="12.75" x14ac:dyDescent="0.2">
      <c r="D248" s="6"/>
      <c r="G248" s="7"/>
      <c r="I248" s="6"/>
    </row>
    <row r="249" spans="4:9" ht="12.75" x14ac:dyDescent="0.2">
      <c r="D249" s="6"/>
      <c r="G249" s="7"/>
      <c r="I249" s="6"/>
    </row>
    <row r="250" spans="4:9" ht="12.75" x14ac:dyDescent="0.2">
      <c r="D250" s="6"/>
      <c r="G250" s="7"/>
      <c r="I250" s="6"/>
    </row>
    <row r="251" spans="4:9" ht="12.75" x14ac:dyDescent="0.2">
      <c r="D251" s="6"/>
      <c r="G251" s="7"/>
      <c r="I251" s="6"/>
    </row>
    <row r="252" spans="4:9" ht="12.75" x14ac:dyDescent="0.2">
      <c r="D252" s="6"/>
      <c r="G252" s="7"/>
      <c r="I252" s="6"/>
    </row>
    <row r="253" spans="4:9" ht="12.75" x14ac:dyDescent="0.2">
      <c r="D253" s="6"/>
      <c r="G253" s="7"/>
      <c r="I253" s="6"/>
    </row>
    <row r="254" spans="4:9" ht="12.75" x14ac:dyDescent="0.2">
      <c r="D254" s="6"/>
      <c r="G254" s="7"/>
      <c r="I254" s="6"/>
    </row>
    <row r="255" spans="4:9" ht="12.75" x14ac:dyDescent="0.2">
      <c r="D255" s="6"/>
      <c r="G255" s="7"/>
      <c r="I255" s="6"/>
    </row>
    <row r="256" spans="4:9" ht="12.75" x14ac:dyDescent="0.2">
      <c r="D256" s="6"/>
      <c r="G256" s="7"/>
      <c r="I256" s="6"/>
    </row>
    <row r="257" spans="4:9" ht="12.75" x14ac:dyDescent="0.2">
      <c r="D257" s="6"/>
      <c r="G257" s="7"/>
      <c r="I257" s="6"/>
    </row>
    <row r="258" spans="4:9" ht="12.75" x14ac:dyDescent="0.2">
      <c r="D258" s="6"/>
      <c r="G258" s="7"/>
      <c r="I258" s="6"/>
    </row>
    <row r="259" spans="4:9" ht="12.75" x14ac:dyDescent="0.2">
      <c r="D259" s="6"/>
      <c r="G259" s="7"/>
      <c r="I259" s="6"/>
    </row>
    <row r="260" spans="4:9" ht="12.75" x14ac:dyDescent="0.2">
      <c r="D260" s="6"/>
      <c r="G260" s="7"/>
      <c r="I260" s="6"/>
    </row>
    <row r="261" spans="4:9" ht="12.75" x14ac:dyDescent="0.2">
      <c r="D261" s="6"/>
      <c r="G261" s="7"/>
      <c r="I261" s="6"/>
    </row>
    <row r="262" spans="4:9" ht="12.75" x14ac:dyDescent="0.2">
      <c r="D262" s="6"/>
      <c r="G262" s="7"/>
      <c r="I262" s="6"/>
    </row>
    <row r="263" spans="4:9" ht="12.75" x14ac:dyDescent="0.2">
      <c r="D263" s="6"/>
      <c r="G263" s="7"/>
      <c r="I263" s="6"/>
    </row>
    <row r="264" spans="4:9" ht="12.75" x14ac:dyDescent="0.2">
      <c r="D264" s="6"/>
      <c r="G264" s="7"/>
      <c r="I264" s="6"/>
    </row>
    <row r="265" spans="4:9" ht="12.75" x14ac:dyDescent="0.2">
      <c r="D265" s="6"/>
      <c r="G265" s="7"/>
      <c r="I265" s="6"/>
    </row>
    <row r="266" spans="4:9" ht="12.75" x14ac:dyDescent="0.2">
      <c r="D266" s="6"/>
      <c r="G266" s="7"/>
      <c r="I266" s="6"/>
    </row>
    <row r="267" spans="4:9" ht="12.75" x14ac:dyDescent="0.2">
      <c r="D267" s="6"/>
      <c r="G267" s="7"/>
      <c r="I267" s="6"/>
    </row>
    <row r="268" spans="4:9" ht="12.75" x14ac:dyDescent="0.2">
      <c r="D268" s="6"/>
      <c r="G268" s="7"/>
      <c r="I268" s="6"/>
    </row>
    <row r="269" spans="4:9" ht="12.75" x14ac:dyDescent="0.2">
      <c r="D269" s="6"/>
      <c r="G269" s="7"/>
      <c r="I269" s="6"/>
    </row>
    <row r="270" spans="4:9" ht="12.75" x14ac:dyDescent="0.2">
      <c r="D270" s="6"/>
      <c r="G270" s="7"/>
      <c r="I270" s="6"/>
    </row>
    <row r="271" spans="4:9" ht="12.75" x14ac:dyDescent="0.2">
      <c r="D271" s="6"/>
      <c r="G271" s="7"/>
      <c r="I271" s="6"/>
    </row>
    <row r="272" spans="4:9" ht="12.75" x14ac:dyDescent="0.2">
      <c r="D272" s="6"/>
      <c r="G272" s="7"/>
      <c r="I272" s="6"/>
    </row>
    <row r="273" spans="4:9" ht="12.75" x14ac:dyDescent="0.2">
      <c r="D273" s="6"/>
      <c r="G273" s="7"/>
      <c r="I273" s="6"/>
    </row>
    <row r="274" spans="4:9" ht="12.75" x14ac:dyDescent="0.2">
      <c r="D274" s="6"/>
      <c r="G274" s="7"/>
      <c r="I274" s="6"/>
    </row>
    <row r="275" spans="4:9" ht="12.75" x14ac:dyDescent="0.2">
      <c r="D275" s="6"/>
      <c r="G275" s="7"/>
      <c r="I275" s="6"/>
    </row>
    <row r="276" spans="4:9" ht="12.75" x14ac:dyDescent="0.2">
      <c r="D276" s="6"/>
      <c r="G276" s="7"/>
      <c r="I276" s="6"/>
    </row>
    <row r="277" spans="4:9" ht="12.75" x14ac:dyDescent="0.2">
      <c r="D277" s="6"/>
      <c r="G277" s="7"/>
      <c r="I277" s="6"/>
    </row>
    <row r="278" spans="4:9" ht="12.75" x14ac:dyDescent="0.2">
      <c r="D278" s="6"/>
      <c r="G278" s="7"/>
      <c r="I278" s="6"/>
    </row>
    <row r="279" spans="4:9" ht="12.75" x14ac:dyDescent="0.2">
      <c r="D279" s="6"/>
      <c r="G279" s="7"/>
      <c r="I279" s="6"/>
    </row>
    <row r="280" spans="4:9" ht="12.75" x14ac:dyDescent="0.2">
      <c r="D280" s="6"/>
      <c r="G280" s="7"/>
      <c r="I280" s="6"/>
    </row>
    <row r="281" spans="4:9" ht="12.75" x14ac:dyDescent="0.2">
      <c r="D281" s="6"/>
      <c r="G281" s="7"/>
      <c r="I281" s="6"/>
    </row>
    <row r="282" spans="4:9" ht="12.75" x14ac:dyDescent="0.2">
      <c r="D282" s="6"/>
      <c r="G282" s="7"/>
      <c r="I282" s="6"/>
    </row>
    <row r="283" spans="4:9" ht="12.75" x14ac:dyDescent="0.2">
      <c r="D283" s="6"/>
      <c r="G283" s="7"/>
      <c r="I283" s="6"/>
    </row>
    <row r="284" spans="4:9" ht="12.75" x14ac:dyDescent="0.2">
      <c r="D284" s="6"/>
      <c r="G284" s="7"/>
      <c r="I284" s="6"/>
    </row>
    <row r="285" spans="4:9" ht="12.75" x14ac:dyDescent="0.2">
      <c r="D285" s="6"/>
      <c r="G285" s="7"/>
      <c r="I285" s="6"/>
    </row>
    <row r="286" spans="4:9" ht="12.75" x14ac:dyDescent="0.2">
      <c r="D286" s="6"/>
      <c r="G286" s="7"/>
      <c r="I286" s="6"/>
    </row>
    <row r="287" spans="4:9" ht="12.75" x14ac:dyDescent="0.2">
      <c r="D287" s="6"/>
      <c r="G287" s="7"/>
      <c r="I287" s="6"/>
    </row>
    <row r="288" spans="4:9" ht="12.75" x14ac:dyDescent="0.2">
      <c r="D288" s="6"/>
      <c r="G288" s="7"/>
      <c r="I288" s="6"/>
    </row>
    <row r="289" spans="4:9" ht="12.75" x14ac:dyDescent="0.2">
      <c r="D289" s="6"/>
      <c r="G289" s="7"/>
      <c r="I289" s="6"/>
    </row>
    <row r="290" spans="4:9" ht="12.75" x14ac:dyDescent="0.2">
      <c r="D290" s="6"/>
      <c r="G290" s="7"/>
      <c r="I290" s="6"/>
    </row>
    <row r="291" spans="4:9" ht="12.75" x14ac:dyDescent="0.2">
      <c r="D291" s="6"/>
      <c r="G291" s="7"/>
      <c r="I291" s="6"/>
    </row>
    <row r="292" spans="4:9" ht="12.75" x14ac:dyDescent="0.2">
      <c r="D292" s="6"/>
      <c r="G292" s="7"/>
      <c r="I292" s="6"/>
    </row>
    <row r="293" spans="4:9" ht="12.75" x14ac:dyDescent="0.2">
      <c r="D293" s="6"/>
      <c r="G293" s="7"/>
      <c r="I293" s="6"/>
    </row>
    <row r="294" spans="4:9" ht="12.75" x14ac:dyDescent="0.2">
      <c r="D294" s="6"/>
      <c r="G294" s="7"/>
      <c r="I294" s="6"/>
    </row>
    <row r="295" spans="4:9" ht="12.75" x14ac:dyDescent="0.2">
      <c r="D295" s="6"/>
      <c r="G295" s="7"/>
      <c r="I295" s="6"/>
    </row>
    <row r="296" spans="4:9" ht="12.75" x14ac:dyDescent="0.2">
      <c r="D296" s="6"/>
      <c r="G296" s="7"/>
      <c r="I296" s="6"/>
    </row>
    <row r="297" spans="4:9" ht="12.75" x14ac:dyDescent="0.2">
      <c r="D297" s="6"/>
      <c r="G297" s="7"/>
      <c r="I297" s="6"/>
    </row>
    <row r="298" spans="4:9" ht="12.75" x14ac:dyDescent="0.2">
      <c r="D298" s="6"/>
      <c r="G298" s="7"/>
      <c r="I298" s="6"/>
    </row>
    <row r="299" spans="4:9" ht="12.75" x14ac:dyDescent="0.2">
      <c r="D299" s="6"/>
      <c r="G299" s="7"/>
      <c r="I299" s="6"/>
    </row>
    <row r="300" spans="4:9" ht="12.75" x14ac:dyDescent="0.2">
      <c r="D300" s="6"/>
      <c r="G300" s="7"/>
      <c r="I300" s="6"/>
    </row>
    <row r="301" spans="4:9" ht="12.75" x14ac:dyDescent="0.2">
      <c r="D301" s="6"/>
      <c r="G301" s="7"/>
      <c r="I301" s="6"/>
    </row>
    <row r="302" spans="4:9" ht="12.75" x14ac:dyDescent="0.2">
      <c r="D302" s="6"/>
      <c r="G302" s="7"/>
      <c r="I302" s="6"/>
    </row>
    <row r="303" spans="4:9" ht="12.75" x14ac:dyDescent="0.2">
      <c r="D303" s="6"/>
      <c r="G303" s="7"/>
      <c r="I303" s="6"/>
    </row>
    <row r="304" spans="4:9" ht="12.75" x14ac:dyDescent="0.2">
      <c r="D304" s="6"/>
      <c r="G304" s="7"/>
      <c r="I304" s="6"/>
    </row>
    <row r="305" spans="4:9" ht="12.75" x14ac:dyDescent="0.2">
      <c r="D305" s="6"/>
      <c r="G305" s="7"/>
      <c r="I305" s="6"/>
    </row>
    <row r="306" spans="4:9" ht="12.75" x14ac:dyDescent="0.2">
      <c r="D306" s="6"/>
      <c r="G306" s="7"/>
      <c r="I306" s="6"/>
    </row>
    <row r="307" spans="4:9" ht="12.75" x14ac:dyDescent="0.2">
      <c r="D307" s="6"/>
      <c r="G307" s="7"/>
      <c r="I307" s="6"/>
    </row>
    <row r="308" spans="4:9" ht="12.75" x14ac:dyDescent="0.2">
      <c r="D308" s="6"/>
      <c r="G308" s="7"/>
      <c r="I308" s="6"/>
    </row>
    <row r="309" spans="4:9" ht="12.75" x14ac:dyDescent="0.2">
      <c r="D309" s="6"/>
      <c r="G309" s="7"/>
      <c r="I309" s="6"/>
    </row>
    <row r="310" spans="4:9" ht="12.75" x14ac:dyDescent="0.2">
      <c r="D310" s="6"/>
      <c r="G310" s="7"/>
      <c r="I310" s="6"/>
    </row>
    <row r="311" spans="4:9" ht="12.75" x14ac:dyDescent="0.2">
      <c r="D311" s="6"/>
      <c r="G311" s="7"/>
      <c r="I311" s="6"/>
    </row>
    <row r="312" spans="4:9" ht="12.75" x14ac:dyDescent="0.2">
      <c r="D312" s="6"/>
      <c r="G312" s="7"/>
      <c r="I312" s="6"/>
    </row>
    <row r="313" spans="4:9" ht="12.75" x14ac:dyDescent="0.2">
      <c r="D313" s="6"/>
      <c r="G313" s="7"/>
      <c r="I313" s="6"/>
    </row>
    <row r="314" spans="4:9" ht="12.75" x14ac:dyDescent="0.2">
      <c r="D314" s="6"/>
      <c r="G314" s="7"/>
      <c r="I314" s="6"/>
    </row>
    <row r="315" spans="4:9" ht="12.75" x14ac:dyDescent="0.2">
      <c r="D315" s="6"/>
      <c r="G315" s="7"/>
      <c r="I315" s="6"/>
    </row>
    <row r="316" spans="4:9" ht="12.75" x14ac:dyDescent="0.2">
      <c r="D316" s="6"/>
      <c r="G316" s="7"/>
      <c r="I316" s="6"/>
    </row>
    <row r="317" spans="4:9" ht="12.75" x14ac:dyDescent="0.2">
      <c r="D317" s="6"/>
      <c r="G317" s="7"/>
      <c r="I317" s="6"/>
    </row>
    <row r="318" spans="4:9" ht="12.75" x14ac:dyDescent="0.2">
      <c r="D318" s="6"/>
      <c r="G318" s="7"/>
      <c r="I318" s="6"/>
    </row>
    <row r="319" spans="4:9" ht="12.75" x14ac:dyDescent="0.2">
      <c r="D319" s="6"/>
      <c r="G319" s="7"/>
      <c r="I319" s="6"/>
    </row>
    <row r="320" spans="4:9" ht="12.75" x14ac:dyDescent="0.2">
      <c r="D320" s="6"/>
      <c r="G320" s="7"/>
      <c r="I320" s="6"/>
    </row>
    <row r="321" spans="4:9" ht="12.75" x14ac:dyDescent="0.2">
      <c r="D321" s="6"/>
      <c r="G321" s="7"/>
      <c r="I321" s="6"/>
    </row>
    <row r="322" spans="4:9" ht="12.75" x14ac:dyDescent="0.2">
      <c r="D322" s="6"/>
      <c r="G322" s="7"/>
      <c r="I322" s="6"/>
    </row>
    <row r="323" spans="4:9" ht="12.75" x14ac:dyDescent="0.2">
      <c r="D323" s="6"/>
      <c r="G323" s="7"/>
      <c r="I323" s="6"/>
    </row>
    <row r="324" spans="4:9" ht="12.75" x14ac:dyDescent="0.2">
      <c r="D324" s="6"/>
      <c r="G324" s="7"/>
      <c r="I324" s="6"/>
    </row>
    <row r="325" spans="4:9" ht="12.75" x14ac:dyDescent="0.2">
      <c r="D325" s="6"/>
      <c r="G325" s="7"/>
      <c r="I325" s="6"/>
    </row>
    <row r="326" spans="4:9" ht="12.75" x14ac:dyDescent="0.2">
      <c r="D326" s="6"/>
      <c r="G326" s="7"/>
      <c r="I326" s="6"/>
    </row>
    <row r="327" spans="4:9" ht="12.75" x14ac:dyDescent="0.2">
      <c r="D327" s="6"/>
      <c r="G327" s="7"/>
      <c r="I327" s="6"/>
    </row>
    <row r="328" spans="4:9" ht="12.75" x14ac:dyDescent="0.2">
      <c r="D328" s="6"/>
      <c r="G328" s="7"/>
      <c r="I328" s="6"/>
    </row>
    <row r="329" spans="4:9" ht="12.75" x14ac:dyDescent="0.2">
      <c r="D329" s="6"/>
      <c r="G329" s="7"/>
      <c r="I329" s="6"/>
    </row>
    <row r="330" spans="4:9" ht="12.75" x14ac:dyDescent="0.2">
      <c r="D330" s="6"/>
      <c r="G330" s="7"/>
      <c r="I330" s="6"/>
    </row>
    <row r="331" spans="4:9" ht="12.75" x14ac:dyDescent="0.2">
      <c r="D331" s="6"/>
      <c r="G331" s="7"/>
      <c r="I331" s="6"/>
    </row>
    <row r="332" spans="4:9" ht="12.75" x14ac:dyDescent="0.2">
      <c r="D332" s="6"/>
      <c r="G332" s="7"/>
      <c r="I332" s="6"/>
    </row>
    <row r="333" spans="4:9" ht="12.75" x14ac:dyDescent="0.2">
      <c r="D333" s="6"/>
      <c r="G333" s="7"/>
      <c r="I333" s="6"/>
    </row>
    <row r="334" spans="4:9" ht="12.75" x14ac:dyDescent="0.2">
      <c r="D334" s="6"/>
      <c r="G334" s="7"/>
      <c r="I334" s="6"/>
    </row>
    <row r="335" spans="4:9" ht="12.75" x14ac:dyDescent="0.2">
      <c r="D335" s="6"/>
      <c r="G335" s="7"/>
      <c r="I335" s="6"/>
    </row>
    <row r="336" spans="4:9" ht="12.75" x14ac:dyDescent="0.2">
      <c r="D336" s="6"/>
      <c r="G336" s="7"/>
      <c r="I336" s="6"/>
    </row>
    <row r="337" spans="4:9" ht="12.75" x14ac:dyDescent="0.2">
      <c r="D337" s="6"/>
      <c r="G337" s="7"/>
      <c r="I337" s="6"/>
    </row>
    <row r="338" spans="4:9" ht="12.75" x14ac:dyDescent="0.2">
      <c r="D338" s="6"/>
      <c r="G338" s="7"/>
      <c r="I338" s="6"/>
    </row>
    <row r="339" spans="4:9" ht="12.75" x14ac:dyDescent="0.2">
      <c r="D339" s="6"/>
      <c r="G339" s="7"/>
      <c r="I339" s="6"/>
    </row>
    <row r="340" spans="4:9" ht="12.75" x14ac:dyDescent="0.2">
      <c r="D340" s="6"/>
      <c r="G340" s="7"/>
      <c r="I340" s="6"/>
    </row>
    <row r="341" spans="4:9" ht="12.75" x14ac:dyDescent="0.2">
      <c r="D341" s="6"/>
      <c r="G341" s="7"/>
      <c r="I341" s="6"/>
    </row>
    <row r="342" spans="4:9" ht="12.75" x14ac:dyDescent="0.2">
      <c r="D342" s="6"/>
      <c r="G342" s="7"/>
      <c r="I342" s="6"/>
    </row>
    <row r="343" spans="4:9" ht="12.75" x14ac:dyDescent="0.2">
      <c r="D343" s="6"/>
      <c r="G343" s="7"/>
      <c r="I343" s="6"/>
    </row>
    <row r="344" spans="4:9" ht="12.75" x14ac:dyDescent="0.2">
      <c r="D344" s="6"/>
      <c r="G344" s="7"/>
      <c r="I344" s="6"/>
    </row>
    <row r="345" spans="4:9" ht="12.75" x14ac:dyDescent="0.2">
      <c r="D345" s="6"/>
      <c r="G345" s="7"/>
      <c r="I345" s="6"/>
    </row>
    <row r="346" spans="4:9" ht="12.75" x14ac:dyDescent="0.2">
      <c r="D346" s="6"/>
      <c r="G346" s="7"/>
      <c r="I346" s="6"/>
    </row>
    <row r="347" spans="4:9" ht="12.75" x14ac:dyDescent="0.2">
      <c r="D347" s="6"/>
      <c r="G347" s="7"/>
      <c r="I347" s="6"/>
    </row>
    <row r="348" spans="4:9" ht="12.75" x14ac:dyDescent="0.2">
      <c r="D348" s="6"/>
      <c r="G348" s="7"/>
      <c r="I348" s="6"/>
    </row>
    <row r="349" spans="4:9" ht="12.75" x14ac:dyDescent="0.2">
      <c r="D349" s="6"/>
      <c r="G349" s="7"/>
      <c r="I349" s="6"/>
    </row>
    <row r="350" spans="4:9" ht="12.75" x14ac:dyDescent="0.2">
      <c r="D350" s="6"/>
      <c r="G350" s="7"/>
      <c r="I350" s="6"/>
    </row>
    <row r="351" spans="4:9" ht="12.75" x14ac:dyDescent="0.2">
      <c r="D351" s="6"/>
      <c r="G351" s="7"/>
      <c r="I351" s="6"/>
    </row>
    <row r="352" spans="4:9" ht="12.75" x14ac:dyDescent="0.2">
      <c r="D352" s="6"/>
      <c r="G352" s="7"/>
      <c r="I352" s="6"/>
    </row>
    <row r="353" spans="4:9" ht="12.75" x14ac:dyDescent="0.2">
      <c r="D353" s="6"/>
      <c r="G353" s="7"/>
      <c r="I353" s="6"/>
    </row>
    <row r="354" spans="4:9" ht="12.75" x14ac:dyDescent="0.2">
      <c r="D354" s="6"/>
      <c r="G354" s="7"/>
      <c r="I354" s="6"/>
    </row>
    <row r="355" spans="4:9" ht="12.75" x14ac:dyDescent="0.2">
      <c r="D355" s="6"/>
      <c r="G355" s="7"/>
      <c r="I355" s="6"/>
    </row>
    <row r="356" spans="4:9" ht="12.75" x14ac:dyDescent="0.2">
      <c r="D356" s="6"/>
      <c r="G356" s="7"/>
      <c r="I356" s="6"/>
    </row>
    <row r="357" spans="4:9" ht="12.75" x14ac:dyDescent="0.2">
      <c r="D357" s="6"/>
      <c r="G357" s="7"/>
      <c r="I357" s="6"/>
    </row>
    <row r="358" spans="4:9" ht="12.75" x14ac:dyDescent="0.2">
      <c r="D358" s="6"/>
      <c r="G358" s="7"/>
      <c r="I358" s="6"/>
    </row>
    <row r="359" spans="4:9" ht="12.75" x14ac:dyDescent="0.2">
      <c r="D359" s="6"/>
      <c r="G359" s="7"/>
      <c r="I359" s="6"/>
    </row>
    <row r="360" spans="4:9" ht="12.75" x14ac:dyDescent="0.2">
      <c r="D360" s="6"/>
      <c r="G360" s="7"/>
      <c r="I360" s="6"/>
    </row>
    <row r="361" spans="4:9" ht="12.75" x14ac:dyDescent="0.2">
      <c r="D361" s="6"/>
      <c r="G361" s="7"/>
      <c r="I361" s="6"/>
    </row>
    <row r="362" spans="4:9" ht="12.75" x14ac:dyDescent="0.2">
      <c r="D362" s="6"/>
      <c r="G362" s="7"/>
      <c r="I362" s="6"/>
    </row>
    <row r="363" spans="4:9" ht="12.75" x14ac:dyDescent="0.2">
      <c r="D363" s="6"/>
      <c r="G363" s="7"/>
      <c r="I363" s="6"/>
    </row>
    <row r="364" spans="4:9" ht="12.75" x14ac:dyDescent="0.2">
      <c r="D364" s="6"/>
      <c r="G364" s="7"/>
      <c r="I364" s="6"/>
    </row>
    <row r="365" spans="4:9" ht="12.75" x14ac:dyDescent="0.2">
      <c r="D365" s="6"/>
      <c r="G365" s="7"/>
      <c r="I365" s="6"/>
    </row>
    <row r="366" spans="4:9" ht="12.75" x14ac:dyDescent="0.2">
      <c r="D366" s="6"/>
      <c r="G366" s="7"/>
      <c r="I366" s="6"/>
    </row>
    <row r="367" spans="4:9" ht="12.75" x14ac:dyDescent="0.2">
      <c r="D367" s="6"/>
      <c r="G367" s="7"/>
      <c r="I367" s="6"/>
    </row>
    <row r="368" spans="4:9" ht="12.75" x14ac:dyDescent="0.2">
      <c r="D368" s="6"/>
      <c r="G368" s="7"/>
      <c r="I368" s="6"/>
    </row>
    <row r="369" spans="4:9" ht="12.75" x14ac:dyDescent="0.2">
      <c r="D369" s="6"/>
      <c r="G369" s="7"/>
      <c r="I369" s="6"/>
    </row>
    <row r="370" spans="4:9" ht="12.75" x14ac:dyDescent="0.2">
      <c r="D370" s="6"/>
      <c r="G370" s="7"/>
      <c r="I370" s="6"/>
    </row>
    <row r="371" spans="4:9" ht="12.75" x14ac:dyDescent="0.2">
      <c r="D371" s="6"/>
      <c r="G371" s="7"/>
      <c r="I371" s="6"/>
    </row>
    <row r="372" spans="4:9" ht="12.75" x14ac:dyDescent="0.2">
      <c r="D372" s="6"/>
      <c r="G372" s="7"/>
      <c r="I372" s="6"/>
    </row>
    <row r="373" spans="4:9" ht="12.75" x14ac:dyDescent="0.2">
      <c r="D373" s="6"/>
      <c r="G373" s="7"/>
      <c r="I373" s="6"/>
    </row>
    <row r="374" spans="4:9" ht="12.75" x14ac:dyDescent="0.2">
      <c r="D374" s="6"/>
      <c r="G374" s="7"/>
      <c r="I374" s="6"/>
    </row>
    <row r="375" spans="4:9" ht="12.75" x14ac:dyDescent="0.2">
      <c r="D375" s="6"/>
      <c r="G375" s="7"/>
      <c r="I375" s="6"/>
    </row>
    <row r="376" spans="4:9" ht="12.75" x14ac:dyDescent="0.2">
      <c r="D376" s="6"/>
      <c r="G376" s="7"/>
      <c r="I376" s="6"/>
    </row>
    <row r="377" spans="4:9" ht="12.75" x14ac:dyDescent="0.2">
      <c r="D377" s="6"/>
      <c r="G377" s="7"/>
      <c r="I377" s="6"/>
    </row>
    <row r="378" spans="4:9" ht="12.75" x14ac:dyDescent="0.2">
      <c r="D378" s="6"/>
      <c r="G378" s="7"/>
      <c r="I378" s="6"/>
    </row>
    <row r="379" spans="4:9" ht="12.75" x14ac:dyDescent="0.2">
      <c r="D379" s="6"/>
      <c r="G379" s="7"/>
      <c r="I379" s="6"/>
    </row>
    <row r="380" spans="4:9" ht="12.75" x14ac:dyDescent="0.2">
      <c r="D380" s="6"/>
      <c r="G380" s="7"/>
      <c r="I380" s="6"/>
    </row>
    <row r="381" spans="4:9" ht="12.75" x14ac:dyDescent="0.2">
      <c r="D381" s="6"/>
      <c r="G381" s="7"/>
      <c r="I381" s="6"/>
    </row>
    <row r="382" spans="4:9" ht="12.75" x14ac:dyDescent="0.2">
      <c r="D382" s="6"/>
      <c r="G382" s="7"/>
      <c r="I382" s="6"/>
    </row>
    <row r="383" spans="4:9" ht="12.75" x14ac:dyDescent="0.2">
      <c r="D383" s="6"/>
      <c r="G383" s="7"/>
      <c r="I383" s="6"/>
    </row>
    <row r="384" spans="4:9" ht="12.75" x14ac:dyDescent="0.2">
      <c r="D384" s="6"/>
      <c r="G384" s="7"/>
      <c r="I384" s="6"/>
    </row>
    <row r="385" spans="4:9" ht="12.75" x14ac:dyDescent="0.2">
      <c r="D385" s="6"/>
      <c r="G385" s="7"/>
      <c r="I385" s="6"/>
    </row>
    <row r="386" spans="4:9" ht="12.75" x14ac:dyDescent="0.2">
      <c r="D386" s="6"/>
      <c r="G386" s="7"/>
      <c r="I386" s="6"/>
    </row>
    <row r="387" spans="4:9" ht="12.75" x14ac:dyDescent="0.2">
      <c r="D387" s="6"/>
      <c r="G387" s="7"/>
      <c r="I387" s="6"/>
    </row>
    <row r="388" spans="4:9" ht="12.75" x14ac:dyDescent="0.2">
      <c r="D388" s="6"/>
      <c r="G388" s="7"/>
      <c r="I388" s="6"/>
    </row>
    <row r="389" spans="4:9" ht="12.75" x14ac:dyDescent="0.2">
      <c r="D389" s="6"/>
      <c r="G389" s="7"/>
      <c r="I389" s="6"/>
    </row>
    <row r="390" spans="4:9" ht="12.75" x14ac:dyDescent="0.2">
      <c r="D390" s="6"/>
      <c r="G390" s="7"/>
      <c r="I390" s="6"/>
    </row>
    <row r="391" spans="4:9" ht="12.75" x14ac:dyDescent="0.2">
      <c r="D391" s="6"/>
      <c r="G391" s="7"/>
      <c r="I391" s="6"/>
    </row>
    <row r="392" spans="4:9" ht="12.75" x14ac:dyDescent="0.2">
      <c r="D392" s="6"/>
      <c r="G392" s="7"/>
      <c r="I392" s="6"/>
    </row>
    <row r="393" spans="4:9" ht="12.75" x14ac:dyDescent="0.2">
      <c r="D393" s="6"/>
      <c r="G393" s="7"/>
      <c r="I393" s="6"/>
    </row>
    <row r="394" spans="4:9" ht="12.75" x14ac:dyDescent="0.2">
      <c r="D394" s="6"/>
      <c r="G394" s="7"/>
      <c r="I394" s="6"/>
    </row>
    <row r="395" spans="4:9" ht="12.75" x14ac:dyDescent="0.2">
      <c r="D395" s="6"/>
      <c r="G395" s="7"/>
      <c r="I395" s="6"/>
    </row>
    <row r="396" spans="4:9" ht="12.75" x14ac:dyDescent="0.2">
      <c r="D396" s="6"/>
      <c r="G396" s="7"/>
      <c r="I396" s="6"/>
    </row>
    <row r="397" spans="4:9" ht="12.75" x14ac:dyDescent="0.2">
      <c r="D397" s="6"/>
      <c r="G397" s="7"/>
      <c r="I397" s="6"/>
    </row>
    <row r="398" spans="4:9" ht="12.75" x14ac:dyDescent="0.2">
      <c r="D398" s="6"/>
      <c r="G398" s="7"/>
      <c r="I398" s="6"/>
    </row>
    <row r="399" spans="4:9" ht="12.75" x14ac:dyDescent="0.2">
      <c r="D399" s="6"/>
      <c r="G399" s="7"/>
      <c r="I399" s="6"/>
    </row>
    <row r="400" spans="4:9" ht="12.75" x14ac:dyDescent="0.2">
      <c r="D400" s="6"/>
      <c r="G400" s="7"/>
      <c r="I400" s="6"/>
    </row>
    <row r="401" spans="4:9" ht="12.75" x14ac:dyDescent="0.2">
      <c r="D401" s="6"/>
      <c r="G401" s="7"/>
      <c r="I401" s="6"/>
    </row>
    <row r="402" spans="4:9" ht="12.75" x14ac:dyDescent="0.2">
      <c r="D402" s="6"/>
      <c r="G402" s="7"/>
      <c r="I402" s="6"/>
    </row>
    <row r="403" spans="4:9" ht="12.75" x14ac:dyDescent="0.2">
      <c r="D403" s="6"/>
      <c r="G403" s="7"/>
      <c r="I403" s="6"/>
    </row>
    <row r="404" spans="4:9" ht="12.75" x14ac:dyDescent="0.2">
      <c r="D404" s="6"/>
      <c r="G404" s="7"/>
      <c r="I404" s="6"/>
    </row>
    <row r="405" spans="4:9" ht="12.75" x14ac:dyDescent="0.2">
      <c r="D405" s="6"/>
      <c r="G405" s="7"/>
      <c r="I405" s="6"/>
    </row>
    <row r="406" spans="4:9" ht="12.75" x14ac:dyDescent="0.2">
      <c r="D406" s="6"/>
      <c r="G406" s="7"/>
      <c r="I406" s="6"/>
    </row>
    <row r="407" spans="4:9" ht="12.75" x14ac:dyDescent="0.2">
      <c r="D407" s="6"/>
      <c r="G407" s="7"/>
      <c r="I407" s="6"/>
    </row>
    <row r="408" spans="4:9" ht="12.75" x14ac:dyDescent="0.2">
      <c r="D408" s="6"/>
      <c r="G408" s="7"/>
      <c r="I408" s="6"/>
    </row>
    <row r="409" spans="4:9" ht="12.75" x14ac:dyDescent="0.2">
      <c r="D409" s="6"/>
      <c r="G409" s="7"/>
      <c r="I409" s="6"/>
    </row>
    <row r="410" spans="4:9" ht="12.75" x14ac:dyDescent="0.2">
      <c r="D410" s="6"/>
      <c r="G410" s="7"/>
      <c r="I410" s="6"/>
    </row>
    <row r="411" spans="4:9" ht="12.75" x14ac:dyDescent="0.2">
      <c r="D411" s="6"/>
      <c r="G411" s="7"/>
      <c r="I411" s="6"/>
    </row>
    <row r="412" spans="4:9" ht="12.75" x14ac:dyDescent="0.2">
      <c r="D412" s="6"/>
      <c r="G412" s="7"/>
      <c r="I412" s="6"/>
    </row>
    <row r="413" spans="4:9" ht="12.75" x14ac:dyDescent="0.2">
      <c r="D413" s="6"/>
      <c r="G413" s="7"/>
      <c r="I413" s="6"/>
    </row>
    <row r="414" spans="4:9" ht="12.75" x14ac:dyDescent="0.2">
      <c r="D414" s="6"/>
      <c r="G414" s="7"/>
      <c r="I414" s="6"/>
    </row>
    <row r="415" spans="4:9" ht="12.75" x14ac:dyDescent="0.2">
      <c r="D415" s="6"/>
      <c r="G415" s="7"/>
      <c r="I415" s="6"/>
    </row>
    <row r="416" spans="4:9" ht="12.75" x14ac:dyDescent="0.2">
      <c r="D416" s="6"/>
      <c r="G416" s="7"/>
      <c r="I416" s="6"/>
    </row>
    <row r="417" spans="4:9" ht="12.75" x14ac:dyDescent="0.2">
      <c r="D417" s="6"/>
      <c r="G417" s="7"/>
      <c r="I417" s="6"/>
    </row>
    <row r="418" spans="4:9" ht="12.75" x14ac:dyDescent="0.2">
      <c r="D418" s="6"/>
      <c r="G418" s="7"/>
      <c r="I418" s="6"/>
    </row>
    <row r="419" spans="4:9" ht="12.75" x14ac:dyDescent="0.2">
      <c r="D419" s="6"/>
      <c r="G419" s="7"/>
      <c r="I419" s="6"/>
    </row>
    <row r="420" spans="4:9" ht="12.75" x14ac:dyDescent="0.2">
      <c r="D420" s="6"/>
      <c r="G420" s="7"/>
      <c r="I420" s="6"/>
    </row>
    <row r="421" spans="4:9" ht="12.75" x14ac:dyDescent="0.2">
      <c r="D421" s="6"/>
      <c r="G421" s="7"/>
      <c r="I421" s="6"/>
    </row>
    <row r="422" spans="4:9" ht="12.75" x14ac:dyDescent="0.2">
      <c r="D422" s="6"/>
      <c r="G422" s="7"/>
      <c r="I422" s="6"/>
    </row>
    <row r="423" spans="4:9" ht="12.75" x14ac:dyDescent="0.2">
      <c r="D423" s="6"/>
      <c r="G423" s="7"/>
      <c r="I423" s="6"/>
    </row>
    <row r="424" spans="4:9" ht="12.75" x14ac:dyDescent="0.2">
      <c r="D424" s="6"/>
      <c r="G424" s="7"/>
      <c r="I424" s="6"/>
    </row>
    <row r="425" spans="4:9" ht="12.75" x14ac:dyDescent="0.2">
      <c r="D425" s="6"/>
      <c r="G425" s="7"/>
      <c r="I425" s="6"/>
    </row>
    <row r="426" spans="4:9" ht="12.75" x14ac:dyDescent="0.2">
      <c r="D426" s="6"/>
      <c r="G426" s="7"/>
      <c r="I426" s="6"/>
    </row>
    <row r="427" spans="4:9" ht="12.75" x14ac:dyDescent="0.2">
      <c r="D427" s="6"/>
      <c r="G427" s="7"/>
      <c r="I427" s="6"/>
    </row>
    <row r="428" spans="4:9" ht="12.75" x14ac:dyDescent="0.2">
      <c r="D428" s="6"/>
      <c r="G428" s="7"/>
      <c r="I428" s="6"/>
    </row>
    <row r="429" spans="4:9" ht="12.75" x14ac:dyDescent="0.2">
      <c r="D429" s="6"/>
      <c r="G429" s="7"/>
      <c r="I429" s="6"/>
    </row>
    <row r="430" spans="4:9" ht="12.75" x14ac:dyDescent="0.2">
      <c r="D430" s="6"/>
      <c r="G430" s="7"/>
      <c r="I430" s="6"/>
    </row>
    <row r="431" spans="4:9" ht="12.75" x14ac:dyDescent="0.2">
      <c r="D431" s="6"/>
      <c r="G431" s="7"/>
      <c r="I431" s="6"/>
    </row>
    <row r="432" spans="4:9" ht="12.75" x14ac:dyDescent="0.2">
      <c r="D432" s="6"/>
      <c r="G432" s="7"/>
      <c r="I432" s="6"/>
    </row>
    <row r="433" spans="4:9" ht="12.75" x14ac:dyDescent="0.2">
      <c r="D433" s="6"/>
      <c r="G433" s="7"/>
      <c r="I433" s="6"/>
    </row>
    <row r="434" spans="4:9" ht="12.75" x14ac:dyDescent="0.2">
      <c r="D434" s="6"/>
      <c r="G434" s="7"/>
      <c r="I434" s="6"/>
    </row>
    <row r="435" spans="4:9" ht="12.75" x14ac:dyDescent="0.2">
      <c r="D435" s="6"/>
      <c r="G435" s="7"/>
      <c r="I435" s="6"/>
    </row>
    <row r="436" spans="4:9" ht="12.75" x14ac:dyDescent="0.2">
      <c r="D436" s="6"/>
      <c r="G436" s="7"/>
      <c r="I436" s="6"/>
    </row>
    <row r="437" spans="4:9" ht="12.75" x14ac:dyDescent="0.2">
      <c r="D437" s="6"/>
      <c r="G437" s="7"/>
      <c r="I437" s="6"/>
    </row>
    <row r="438" spans="4:9" ht="12.75" x14ac:dyDescent="0.2">
      <c r="D438" s="6"/>
      <c r="G438" s="7"/>
      <c r="I438" s="6"/>
    </row>
    <row r="439" spans="4:9" ht="12.75" x14ac:dyDescent="0.2">
      <c r="D439" s="6"/>
      <c r="G439" s="7"/>
      <c r="I439" s="6"/>
    </row>
    <row r="440" spans="4:9" ht="12.75" x14ac:dyDescent="0.2">
      <c r="D440" s="6"/>
      <c r="G440" s="7"/>
      <c r="I440" s="6"/>
    </row>
    <row r="441" spans="4:9" ht="12.75" x14ac:dyDescent="0.2">
      <c r="D441" s="6"/>
      <c r="G441" s="7"/>
      <c r="I441" s="6"/>
    </row>
    <row r="442" spans="4:9" ht="12.75" x14ac:dyDescent="0.2">
      <c r="D442" s="6"/>
      <c r="G442" s="7"/>
      <c r="I442" s="6"/>
    </row>
    <row r="443" spans="4:9" ht="12.75" x14ac:dyDescent="0.2">
      <c r="D443" s="6"/>
      <c r="G443" s="7"/>
      <c r="I443" s="6"/>
    </row>
    <row r="444" spans="4:9" ht="12.75" x14ac:dyDescent="0.2">
      <c r="D444" s="6"/>
      <c r="G444" s="7"/>
      <c r="I444" s="6"/>
    </row>
    <row r="445" spans="4:9" ht="12.75" x14ac:dyDescent="0.2">
      <c r="D445" s="6"/>
      <c r="G445" s="7"/>
      <c r="I445" s="6"/>
    </row>
    <row r="446" spans="4:9" ht="12.75" x14ac:dyDescent="0.2">
      <c r="D446" s="6"/>
      <c r="G446" s="7"/>
      <c r="I446" s="6"/>
    </row>
    <row r="447" spans="4:9" ht="12.75" x14ac:dyDescent="0.2">
      <c r="D447" s="6"/>
      <c r="G447" s="7"/>
      <c r="I447" s="6"/>
    </row>
    <row r="448" spans="4:9" ht="12.75" x14ac:dyDescent="0.2">
      <c r="D448" s="6"/>
      <c r="G448" s="7"/>
      <c r="I448" s="6"/>
    </row>
    <row r="449" spans="4:9" ht="12.75" x14ac:dyDescent="0.2">
      <c r="D449" s="6"/>
      <c r="G449" s="7"/>
      <c r="I449" s="6"/>
    </row>
    <row r="450" spans="4:9" ht="12.75" x14ac:dyDescent="0.2">
      <c r="D450" s="6"/>
      <c r="G450" s="7"/>
      <c r="I450" s="6"/>
    </row>
    <row r="451" spans="4:9" ht="12.75" x14ac:dyDescent="0.2">
      <c r="D451" s="6"/>
      <c r="G451" s="7"/>
      <c r="I451" s="6"/>
    </row>
    <row r="452" spans="4:9" ht="12.75" x14ac:dyDescent="0.2">
      <c r="D452" s="6"/>
      <c r="G452" s="7"/>
      <c r="I452" s="6"/>
    </row>
    <row r="453" spans="4:9" ht="12.75" x14ac:dyDescent="0.2">
      <c r="D453" s="6"/>
      <c r="G453" s="7"/>
      <c r="I453" s="6"/>
    </row>
    <row r="454" spans="4:9" ht="12.75" x14ac:dyDescent="0.2">
      <c r="D454" s="6"/>
      <c r="G454" s="7"/>
      <c r="I454" s="6"/>
    </row>
    <row r="455" spans="4:9" ht="12.75" x14ac:dyDescent="0.2">
      <c r="D455" s="6"/>
      <c r="G455" s="7"/>
      <c r="I455" s="6"/>
    </row>
    <row r="456" spans="4:9" ht="12.75" x14ac:dyDescent="0.2">
      <c r="D456" s="6"/>
      <c r="G456" s="7"/>
      <c r="I456" s="6"/>
    </row>
    <row r="457" spans="4:9" ht="12.75" x14ac:dyDescent="0.2">
      <c r="D457" s="6"/>
      <c r="G457" s="7"/>
      <c r="I457" s="6"/>
    </row>
    <row r="458" spans="4:9" ht="12.75" x14ac:dyDescent="0.2">
      <c r="D458" s="6"/>
      <c r="G458" s="7"/>
      <c r="I458" s="6"/>
    </row>
    <row r="459" spans="4:9" ht="12.75" x14ac:dyDescent="0.2">
      <c r="D459" s="6"/>
      <c r="G459" s="7"/>
      <c r="I459" s="6"/>
    </row>
    <row r="460" spans="4:9" ht="12.75" x14ac:dyDescent="0.2">
      <c r="D460" s="6"/>
      <c r="G460" s="7"/>
      <c r="I460" s="6"/>
    </row>
    <row r="461" spans="4:9" ht="12.75" x14ac:dyDescent="0.2">
      <c r="D461" s="6"/>
      <c r="G461" s="7"/>
      <c r="I461" s="6"/>
    </row>
    <row r="462" spans="4:9" ht="12.75" x14ac:dyDescent="0.2">
      <c r="D462" s="6"/>
      <c r="G462" s="7"/>
      <c r="I462" s="6"/>
    </row>
    <row r="463" spans="4:9" ht="12.75" x14ac:dyDescent="0.2">
      <c r="D463" s="6"/>
      <c r="G463" s="7"/>
      <c r="I463" s="6"/>
    </row>
    <row r="464" spans="4:9" ht="12.75" x14ac:dyDescent="0.2">
      <c r="D464" s="6"/>
      <c r="G464" s="7"/>
      <c r="I464" s="6"/>
    </row>
    <row r="465" spans="4:9" ht="12.75" x14ac:dyDescent="0.2">
      <c r="D465" s="6"/>
      <c r="G465" s="7"/>
      <c r="I465" s="6"/>
    </row>
    <row r="466" spans="4:9" ht="12.75" x14ac:dyDescent="0.2">
      <c r="D466" s="6"/>
      <c r="G466" s="7"/>
      <c r="I466" s="6"/>
    </row>
    <row r="467" spans="4:9" ht="12.75" x14ac:dyDescent="0.2">
      <c r="D467" s="6"/>
      <c r="G467" s="7"/>
      <c r="I467" s="6"/>
    </row>
    <row r="468" spans="4:9" ht="12.75" x14ac:dyDescent="0.2">
      <c r="D468" s="6"/>
      <c r="G468" s="7"/>
      <c r="I468" s="6"/>
    </row>
    <row r="469" spans="4:9" ht="12.75" x14ac:dyDescent="0.2">
      <c r="D469" s="6"/>
      <c r="G469" s="7"/>
      <c r="I469" s="6"/>
    </row>
    <row r="470" spans="4:9" ht="12.75" x14ac:dyDescent="0.2">
      <c r="D470" s="6"/>
      <c r="G470" s="7"/>
      <c r="I470" s="6"/>
    </row>
    <row r="471" spans="4:9" ht="12.75" x14ac:dyDescent="0.2">
      <c r="D471" s="6"/>
      <c r="G471" s="7"/>
      <c r="I471" s="6"/>
    </row>
    <row r="472" spans="4:9" ht="12.75" x14ac:dyDescent="0.2">
      <c r="D472" s="6"/>
      <c r="G472" s="7"/>
      <c r="I472" s="6"/>
    </row>
    <row r="473" spans="4:9" ht="12.75" x14ac:dyDescent="0.2">
      <c r="D473" s="6"/>
      <c r="G473" s="7"/>
      <c r="I473" s="6"/>
    </row>
    <row r="474" spans="4:9" ht="12.75" x14ac:dyDescent="0.2">
      <c r="D474" s="6"/>
      <c r="G474" s="7"/>
      <c r="I474" s="6"/>
    </row>
    <row r="475" spans="4:9" ht="12.75" x14ac:dyDescent="0.2">
      <c r="D475" s="6"/>
      <c r="G475" s="7"/>
      <c r="I475" s="6"/>
    </row>
    <row r="476" spans="4:9" ht="12.75" x14ac:dyDescent="0.2">
      <c r="D476" s="6"/>
      <c r="G476" s="7"/>
      <c r="I476" s="6"/>
    </row>
    <row r="477" spans="4:9" ht="12.75" x14ac:dyDescent="0.2">
      <c r="D477" s="6"/>
      <c r="G477" s="7"/>
      <c r="I477" s="6"/>
    </row>
    <row r="478" spans="4:9" ht="12.75" x14ac:dyDescent="0.2">
      <c r="D478" s="6"/>
      <c r="G478" s="7"/>
      <c r="I478" s="6"/>
    </row>
    <row r="479" spans="4:9" ht="12.75" x14ac:dyDescent="0.2">
      <c r="D479" s="6"/>
      <c r="G479" s="7"/>
      <c r="I479" s="6"/>
    </row>
    <row r="480" spans="4:9" ht="12.75" x14ac:dyDescent="0.2">
      <c r="D480" s="6"/>
      <c r="G480" s="7"/>
      <c r="I480" s="6"/>
    </row>
    <row r="481" spans="4:9" ht="12.75" x14ac:dyDescent="0.2">
      <c r="D481" s="6"/>
      <c r="G481" s="7"/>
      <c r="I481" s="6"/>
    </row>
    <row r="482" spans="4:9" ht="12.75" x14ac:dyDescent="0.2">
      <c r="D482" s="6"/>
      <c r="G482" s="7"/>
      <c r="I482" s="6"/>
    </row>
    <row r="483" spans="4:9" ht="12.75" x14ac:dyDescent="0.2">
      <c r="D483" s="6"/>
      <c r="G483" s="7"/>
      <c r="I483" s="6"/>
    </row>
    <row r="484" spans="4:9" ht="12.75" x14ac:dyDescent="0.2">
      <c r="D484" s="6"/>
      <c r="G484" s="7"/>
      <c r="I484" s="6"/>
    </row>
    <row r="485" spans="4:9" ht="12.75" x14ac:dyDescent="0.2">
      <c r="D485" s="6"/>
      <c r="G485" s="7"/>
      <c r="I485" s="6"/>
    </row>
    <row r="486" spans="4:9" ht="12.75" x14ac:dyDescent="0.2">
      <c r="D486" s="6"/>
      <c r="G486" s="7"/>
      <c r="I486" s="6"/>
    </row>
    <row r="487" spans="4:9" ht="12.75" x14ac:dyDescent="0.2">
      <c r="D487" s="6"/>
      <c r="G487" s="7"/>
      <c r="I487" s="6"/>
    </row>
    <row r="488" spans="4:9" ht="12.75" x14ac:dyDescent="0.2">
      <c r="D488" s="6"/>
      <c r="G488" s="7"/>
      <c r="I488" s="6"/>
    </row>
    <row r="489" spans="4:9" ht="12.75" x14ac:dyDescent="0.2">
      <c r="D489" s="6"/>
      <c r="G489" s="7"/>
      <c r="I489" s="6"/>
    </row>
    <row r="490" spans="4:9" ht="12.75" x14ac:dyDescent="0.2">
      <c r="D490" s="6"/>
      <c r="G490" s="7"/>
      <c r="I490" s="6"/>
    </row>
    <row r="491" spans="4:9" ht="12.75" x14ac:dyDescent="0.2">
      <c r="D491" s="6"/>
      <c r="G491" s="7"/>
      <c r="I491" s="6"/>
    </row>
    <row r="492" spans="4:9" ht="12.75" x14ac:dyDescent="0.2">
      <c r="D492" s="6"/>
      <c r="G492" s="7"/>
      <c r="I492" s="6"/>
    </row>
    <row r="493" spans="4:9" ht="12.75" x14ac:dyDescent="0.2">
      <c r="D493" s="6"/>
      <c r="G493" s="7"/>
      <c r="I493" s="6"/>
    </row>
    <row r="494" spans="4:9" ht="12.75" x14ac:dyDescent="0.2">
      <c r="D494" s="6"/>
      <c r="G494" s="7"/>
      <c r="I494" s="6"/>
    </row>
    <row r="495" spans="4:9" ht="12.75" x14ac:dyDescent="0.2">
      <c r="D495" s="6"/>
      <c r="G495" s="7"/>
      <c r="I495" s="6"/>
    </row>
    <row r="496" spans="4:9" ht="12.75" x14ac:dyDescent="0.2">
      <c r="D496" s="6"/>
      <c r="G496" s="7"/>
      <c r="I496" s="6"/>
    </row>
    <row r="497" spans="4:9" ht="12.75" x14ac:dyDescent="0.2">
      <c r="D497" s="6"/>
      <c r="G497" s="7"/>
      <c r="I497" s="6"/>
    </row>
    <row r="498" spans="4:9" ht="12.75" x14ac:dyDescent="0.2">
      <c r="D498" s="6"/>
      <c r="G498" s="7"/>
      <c r="I498" s="6"/>
    </row>
    <row r="499" spans="4:9" ht="12.75" x14ac:dyDescent="0.2">
      <c r="D499" s="6"/>
      <c r="G499" s="7"/>
      <c r="I499" s="6"/>
    </row>
    <row r="500" spans="4:9" ht="12.75" x14ac:dyDescent="0.2">
      <c r="D500" s="6"/>
      <c r="G500" s="7"/>
      <c r="I500" s="6"/>
    </row>
    <row r="501" spans="4:9" ht="12.75" x14ac:dyDescent="0.2">
      <c r="D501" s="6"/>
      <c r="G501" s="7"/>
      <c r="I501" s="6"/>
    </row>
    <row r="502" spans="4:9" ht="12.75" x14ac:dyDescent="0.2">
      <c r="D502" s="6"/>
      <c r="G502" s="7"/>
      <c r="I502" s="6"/>
    </row>
    <row r="503" spans="4:9" ht="12.75" x14ac:dyDescent="0.2">
      <c r="D503" s="6"/>
      <c r="G503" s="7"/>
      <c r="I503" s="6"/>
    </row>
    <row r="504" spans="4:9" ht="12.75" x14ac:dyDescent="0.2">
      <c r="D504" s="6"/>
      <c r="G504" s="7"/>
      <c r="I504" s="6"/>
    </row>
    <row r="505" spans="4:9" ht="12.75" x14ac:dyDescent="0.2">
      <c r="D505" s="6"/>
      <c r="G505" s="7"/>
      <c r="I505" s="6"/>
    </row>
    <row r="506" spans="4:9" ht="12.75" x14ac:dyDescent="0.2">
      <c r="D506" s="6"/>
      <c r="G506" s="7"/>
      <c r="I506" s="6"/>
    </row>
    <row r="507" spans="4:9" ht="12.75" x14ac:dyDescent="0.2">
      <c r="D507" s="6"/>
      <c r="G507" s="7"/>
      <c r="I507" s="6"/>
    </row>
    <row r="508" spans="4:9" ht="12.75" x14ac:dyDescent="0.2">
      <c r="D508" s="6"/>
      <c r="G508" s="7"/>
      <c r="I508" s="6"/>
    </row>
    <row r="509" spans="4:9" ht="12.75" x14ac:dyDescent="0.2">
      <c r="D509" s="6"/>
      <c r="G509" s="7"/>
      <c r="I509" s="6"/>
    </row>
    <row r="510" spans="4:9" ht="12.75" x14ac:dyDescent="0.2">
      <c r="D510" s="6"/>
      <c r="G510" s="7"/>
      <c r="I510" s="6"/>
    </row>
    <row r="511" spans="4:9" ht="12.75" x14ac:dyDescent="0.2">
      <c r="D511" s="6"/>
      <c r="G511" s="7"/>
      <c r="I511" s="6"/>
    </row>
    <row r="512" spans="4:9" ht="12.75" x14ac:dyDescent="0.2">
      <c r="D512" s="6"/>
      <c r="G512" s="7"/>
      <c r="I512" s="6"/>
    </row>
    <row r="513" spans="4:9" ht="12.75" x14ac:dyDescent="0.2">
      <c r="D513" s="6"/>
      <c r="G513" s="7"/>
      <c r="I513" s="6"/>
    </row>
    <row r="514" spans="4:9" ht="12.75" x14ac:dyDescent="0.2">
      <c r="D514" s="6"/>
      <c r="G514" s="7"/>
      <c r="I514" s="6"/>
    </row>
    <row r="515" spans="4:9" ht="12.75" x14ac:dyDescent="0.2">
      <c r="D515" s="6"/>
      <c r="G515" s="7"/>
      <c r="I515" s="6"/>
    </row>
    <row r="516" spans="4:9" ht="12.75" x14ac:dyDescent="0.2">
      <c r="D516" s="6"/>
      <c r="G516" s="7"/>
      <c r="I516" s="6"/>
    </row>
    <row r="517" spans="4:9" ht="12.75" x14ac:dyDescent="0.2">
      <c r="D517" s="6"/>
      <c r="G517" s="7"/>
      <c r="I517" s="6"/>
    </row>
    <row r="518" spans="4:9" ht="12.75" x14ac:dyDescent="0.2">
      <c r="D518" s="6"/>
      <c r="G518" s="7"/>
      <c r="I518" s="6"/>
    </row>
    <row r="519" spans="4:9" ht="12.75" x14ac:dyDescent="0.2">
      <c r="D519" s="6"/>
      <c r="G519" s="7"/>
      <c r="I519" s="6"/>
    </row>
    <row r="520" spans="4:9" ht="12.75" x14ac:dyDescent="0.2">
      <c r="D520" s="6"/>
      <c r="G520" s="7"/>
      <c r="I520" s="6"/>
    </row>
    <row r="521" spans="4:9" ht="12.75" x14ac:dyDescent="0.2">
      <c r="D521" s="6"/>
      <c r="G521" s="7"/>
      <c r="I521" s="6"/>
    </row>
    <row r="522" spans="4:9" ht="12.75" x14ac:dyDescent="0.2">
      <c r="D522" s="6"/>
      <c r="G522" s="7"/>
      <c r="I522" s="6"/>
    </row>
    <row r="523" spans="4:9" ht="12.75" x14ac:dyDescent="0.2">
      <c r="D523" s="6"/>
      <c r="G523" s="7"/>
      <c r="I523" s="6"/>
    </row>
    <row r="524" spans="4:9" ht="12.75" x14ac:dyDescent="0.2">
      <c r="D524" s="6"/>
      <c r="G524" s="7"/>
      <c r="I524" s="6"/>
    </row>
    <row r="525" spans="4:9" ht="12.75" x14ac:dyDescent="0.2">
      <c r="D525" s="6"/>
      <c r="G525" s="7"/>
      <c r="I525" s="6"/>
    </row>
    <row r="526" spans="4:9" ht="12.75" x14ac:dyDescent="0.2">
      <c r="D526" s="6"/>
      <c r="G526" s="7"/>
      <c r="I526" s="6"/>
    </row>
    <row r="527" spans="4:9" ht="12.75" x14ac:dyDescent="0.2">
      <c r="D527" s="6"/>
      <c r="G527" s="7"/>
      <c r="I527" s="6"/>
    </row>
    <row r="528" spans="4:9" ht="12.75" x14ac:dyDescent="0.2">
      <c r="D528" s="6"/>
      <c r="G528" s="7"/>
      <c r="I528" s="6"/>
    </row>
    <row r="529" spans="4:9" ht="12.75" x14ac:dyDescent="0.2">
      <c r="D529" s="6"/>
      <c r="G529" s="7"/>
      <c r="I529" s="6"/>
    </row>
    <row r="530" spans="4:9" ht="12.75" x14ac:dyDescent="0.2">
      <c r="D530" s="6"/>
      <c r="G530" s="7"/>
      <c r="I530" s="6"/>
    </row>
    <row r="531" spans="4:9" ht="12.75" x14ac:dyDescent="0.2">
      <c r="D531" s="6"/>
      <c r="G531" s="7"/>
      <c r="I531" s="6"/>
    </row>
    <row r="532" spans="4:9" ht="12.75" x14ac:dyDescent="0.2">
      <c r="D532" s="6"/>
      <c r="G532" s="7"/>
      <c r="I532" s="6"/>
    </row>
    <row r="533" spans="4:9" ht="12.75" x14ac:dyDescent="0.2">
      <c r="D533" s="6"/>
      <c r="G533" s="7"/>
      <c r="I533" s="6"/>
    </row>
    <row r="534" spans="4:9" ht="12.75" x14ac:dyDescent="0.2">
      <c r="D534" s="6"/>
      <c r="G534" s="7"/>
      <c r="I534" s="6"/>
    </row>
    <row r="535" spans="4:9" ht="12.75" x14ac:dyDescent="0.2">
      <c r="D535" s="6"/>
      <c r="G535" s="7"/>
      <c r="I535" s="6"/>
    </row>
    <row r="536" spans="4:9" ht="12.75" x14ac:dyDescent="0.2">
      <c r="D536" s="6"/>
      <c r="G536" s="7"/>
      <c r="I536" s="6"/>
    </row>
    <row r="537" spans="4:9" ht="12.75" x14ac:dyDescent="0.2">
      <c r="D537" s="6"/>
      <c r="G537" s="7"/>
      <c r="I537" s="6"/>
    </row>
    <row r="538" spans="4:9" ht="12.75" x14ac:dyDescent="0.2">
      <c r="D538" s="6"/>
      <c r="G538" s="7"/>
      <c r="I538" s="6"/>
    </row>
    <row r="539" spans="4:9" ht="12.75" x14ac:dyDescent="0.2">
      <c r="D539" s="6"/>
      <c r="G539" s="7"/>
      <c r="I539" s="6"/>
    </row>
    <row r="540" spans="4:9" ht="12.75" x14ac:dyDescent="0.2">
      <c r="D540" s="6"/>
      <c r="G540" s="7"/>
      <c r="I540" s="6"/>
    </row>
    <row r="541" spans="4:9" ht="12.75" x14ac:dyDescent="0.2">
      <c r="D541" s="6"/>
      <c r="G541" s="7"/>
      <c r="I541" s="6"/>
    </row>
    <row r="542" spans="4:9" ht="12.75" x14ac:dyDescent="0.2">
      <c r="D542" s="6"/>
      <c r="G542" s="7"/>
      <c r="I542" s="6"/>
    </row>
    <row r="543" spans="4:9" ht="12.75" x14ac:dyDescent="0.2">
      <c r="D543" s="6"/>
      <c r="G543" s="7"/>
      <c r="I543" s="6"/>
    </row>
    <row r="544" spans="4:9" ht="12.75" x14ac:dyDescent="0.2">
      <c r="D544" s="6"/>
      <c r="G544" s="7"/>
      <c r="I544" s="6"/>
    </row>
    <row r="545" spans="4:9" ht="12.75" x14ac:dyDescent="0.2">
      <c r="D545" s="6"/>
      <c r="G545" s="7"/>
      <c r="I545" s="6"/>
    </row>
    <row r="546" spans="4:9" ht="12.75" x14ac:dyDescent="0.2">
      <c r="D546" s="6"/>
      <c r="G546" s="7"/>
      <c r="I546" s="6"/>
    </row>
    <row r="547" spans="4:9" ht="12.75" x14ac:dyDescent="0.2">
      <c r="D547" s="6"/>
      <c r="G547" s="7"/>
      <c r="I547" s="6"/>
    </row>
    <row r="548" spans="4:9" ht="12.75" x14ac:dyDescent="0.2">
      <c r="D548" s="6"/>
      <c r="G548" s="7"/>
      <c r="I548" s="6"/>
    </row>
    <row r="549" spans="4:9" ht="12.75" x14ac:dyDescent="0.2">
      <c r="D549" s="6"/>
      <c r="G549" s="7"/>
      <c r="I549" s="6"/>
    </row>
    <row r="550" spans="4:9" ht="12.75" x14ac:dyDescent="0.2">
      <c r="D550" s="6"/>
      <c r="G550" s="7"/>
      <c r="I550" s="6"/>
    </row>
    <row r="551" spans="4:9" ht="12.75" x14ac:dyDescent="0.2">
      <c r="D551" s="6"/>
      <c r="G551" s="7"/>
      <c r="I551" s="6"/>
    </row>
    <row r="552" spans="4:9" ht="12.75" x14ac:dyDescent="0.2">
      <c r="D552" s="6"/>
      <c r="G552" s="7"/>
      <c r="I552" s="6"/>
    </row>
    <row r="553" spans="4:9" ht="12.75" x14ac:dyDescent="0.2">
      <c r="D553" s="6"/>
      <c r="G553" s="7"/>
      <c r="I553" s="6"/>
    </row>
    <row r="554" spans="4:9" ht="12.75" x14ac:dyDescent="0.2">
      <c r="D554" s="6"/>
      <c r="G554" s="7"/>
      <c r="I554" s="6"/>
    </row>
    <row r="555" spans="4:9" ht="12.75" x14ac:dyDescent="0.2">
      <c r="D555" s="6"/>
      <c r="G555" s="7"/>
      <c r="I555" s="6"/>
    </row>
    <row r="556" spans="4:9" ht="12.75" x14ac:dyDescent="0.2">
      <c r="D556" s="6"/>
      <c r="G556" s="7"/>
      <c r="I556" s="6"/>
    </row>
    <row r="557" spans="4:9" ht="12.75" x14ac:dyDescent="0.2">
      <c r="D557" s="6"/>
      <c r="G557" s="7"/>
      <c r="I557" s="6"/>
    </row>
    <row r="558" spans="4:9" ht="12.75" x14ac:dyDescent="0.2">
      <c r="D558" s="6"/>
      <c r="G558" s="7"/>
      <c r="I558" s="6"/>
    </row>
    <row r="559" spans="4:9" ht="12.75" x14ac:dyDescent="0.2">
      <c r="D559" s="6"/>
      <c r="G559" s="7"/>
      <c r="I559" s="6"/>
    </row>
    <row r="560" spans="4:9" ht="12.75" x14ac:dyDescent="0.2">
      <c r="D560" s="6"/>
      <c r="G560" s="7"/>
      <c r="I560" s="6"/>
    </row>
    <row r="561" spans="4:9" ht="12.75" x14ac:dyDescent="0.2">
      <c r="D561" s="6"/>
      <c r="G561" s="7"/>
      <c r="I561" s="6"/>
    </row>
    <row r="562" spans="4:9" ht="12.75" x14ac:dyDescent="0.2">
      <c r="D562" s="6"/>
      <c r="G562" s="7"/>
      <c r="I562" s="6"/>
    </row>
    <row r="563" spans="4:9" ht="12.75" x14ac:dyDescent="0.2">
      <c r="D563" s="6"/>
      <c r="G563" s="7"/>
      <c r="I563" s="6"/>
    </row>
    <row r="564" spans="4:9" ht="12.75" x14ac:dyDescent="0.2">
      <c r="D564" s="6"/>
      <c r="G564" s="7"/>
      <c r="I564" s="6"/>
    </row>
    <row r="565" spans="4:9" ht="12.75" x14ac:dyDescent="0.2">
      <c r="D565" s="6"/>
      <c r="G565" s="7"/>
      <c r="I565" s="6"/>
    </row>
    <row r="566" spans="4:9" ht="12.75" x14ac:dyDescent="0.2">
      <c r="D566" s="6"/>
      <c r="G566" s="7"/>
      <c r="I566" s="6"/>
    </row>
    <row r="567" spans="4:9" ht="12.75" x14ac:dyDescent="0.2">
      <c r="D567" s="6"/>
      <c r="G567" s="7"/>
      <c r="I567" s="6"/>
    </row>
    <row r="568" spans="4:9" ht="12.75" x14ac:dyDescent="0.2">
      <c r="D568" s="6"/>
      <c r="G568" s="7"/>
      <c r="I568" s="6"/>
    </row>
    <row r="569" spans="4:9" ht="12.75" x14ac:dyDescent="0.2">
      <c r="D569" s="6"/>
      <c r="G569" s="7"/>
      <c r="I569" s="6"/>
    </row>
    <row r="570" spans="4:9" ht="12.75" x14ac:dyDescent="0.2">
      <c r="D570" s="6"/>
      <c r="G570" s="7"/>
      <c r="I570" s="6"/>
    </row>
    <row r="571" spans="4:9" ht="12.75" x14ac:dyDescent="0.2">
      <c r="D571" s="6"/>
      <c r="G571" s="7"/>
      <c r="I571" s="6"/>
    </row>
    <row r="572" spans="4:9" ht="12.75" x14ac:dyDescent="0.2">
      <c r="D572" s="6"/>
      <c r="G572" s="7"/>
      <c r="I572" s="6"/>
    </row>
    <row r="573" spans="4:9" ht="12.75" x14ac:dyDescent="0.2">
      <c r="D573" s="6"/>
      <c r="G573" s="7"/>
      <c r="I573" s="6"/>
    </row>
    <row r="574" spans="4:9" ht="12.75" x14ac:dyDescent="0.2">
      <c r="D574" s="6"/>
      <c r="G574" s="7"/>
      <c r="I574" s="6"/>
    </row>
    <row r="575" spans="4:9" ht="12.75" x14ac:dyDescent="0.2">
      <c r="D575" s="6"/>
      <c r="G575" s="7"/>
      <c r="I575" s="6"/>
    </row>
    <row r="576" spans="4:9" ht="12.75" x14ac:dyDescent="0.2">
      <c r="D576" s="6"/>
      <c r="G576" s="7"/>
      <c r="I576" s="6"/>
    </row>
    <row r="577" spans="4:9" ht="12.75" x14ac:dyDescent="0.2">
      <c r="D577" s="6"/>
      <c r="G577" s="7"/>
      <c r="I577" s="6"/>
    </row>
    <row r="578" spans="4:9" ht="12.75" x14ac:dyDescent="0.2">
      <c r="D578" s="6"/>
      <c r="G578" s="7"/>
      <c r="I578" s="6"/>
    </row>
    <row r="579" spans="4:9" ht="12.75" x14ac:dyDescent="0.2">
      <c r="D579" s="6"/>
      <c r="G579" s="7"/>
      <c r="I579" s="6"/>
    </row>
    <row r="580" spans="4:9" ht="12.75" x14ac:dyDescent="0.2">
      <c r="D580" s="6"/>
      <c r="G580" s="7"/>
      <c r="I580" s="6"/>
    </row>
    <row r="581" spans="4:9" ht="12.75" x14ac:dyDescent="0.2">
      <c r="D581" s="6"/>
      <c r="G581" s="7"/>
      <c r="I581" s="6"/>
    </row>
    <row r="582" spans="4:9" ht="12.75" x14ac:dyDescent="0.2">
      <c r="D582" s="6"/>
      <c r="G582" s="7"/>
      <c r="I582" s="6"/>
    </row>
    <row r="583" spans="4:9" ht="12.75" x14ac:dyDescent="0.2">
      <c r="D583" s="6"/>
      <c r="G583" s="7"/>
      <c r="I583" s="6"/>
    </row>
    <row r="584" spans="4:9" ht="12.75" x14ac:dyDescent="0.2">
      <c r="D584" s="6"/>
      <c r="G584" s="7"/>
      <c r="I584" s="6"/>
    </row>
    <row r="585" spans="4:9" ht="12.75" x14ac:dyDescent="0.2">
      <c r="D585" s="6"/>
      <c r="G585" s="7"/>
      <c r="I585" s="6"/>
    </row>
    <row r="586" spans="4:9" ht="12.75" x14ac:dyDescent="0.2">
      <c r="D586" s="6"/>
      <c r="G586" s="7"/>
      <c r="I586" s="6"/>
    </row>
    <row r="587" spans="4:9" ht="12.75" x14ac:dyDescent="0.2">
      <c r="D587" s="6"/>
      <c r="G587" s="7"/>
      <c r="I587" s="6"/>
    </row>
    <row r="588" spans="4:9" ht="12.75" x14ac:dyDescent="0.2">
      <c r="D588" s="6"/>
      <c r="G588" s="7"/>
      <c r="I588" s="6"/>
    </row>
    <row r="589" spans="4:9" ht="12.75" x14ac:dyDescent="0.2">
      <c r="D589" s="6"/>
      <c r="G589" s="7"/>
      <c r="I589" s="6"/>
    </row>
    <row r="590" spans="4:9" ht="12.75" x14ac:dyDescent="0.2">
      <c r="D590" s="6"/>
      <c r="G590" s="7"/>
      <c r="I590" s="6"/>
    </row>
    <row r="591" spans="4:9" ht="12.75" x14ac:dyDescent="0.2">
      <c r="D591" s="6"/>
      <c r="G591" s="7"/>
      <c r="I591" s="6"/>
    </row>
    <row r="592" spans="4:9" ht="12.75" x14ac:dyDescent="0.2">
      <c r="D592" s="6"/>
      <c r="G592" s="7"/>
      <c r="I592" s="6"/>
    </row>
    <row r="593" spans="4:9" ht="12.75" x14ac:dyDescent="0.2">
      <c r="D593" s="6"/>
      <c r="G593" s="7"/>
      <c r="I593" s="6"/>
    </row>
    <row r="594" spans="4:9" ht="12.75" x14ac:dyDescent="0.2">
      <c r="D594" s="6"/>
      <c r="G594" s="7"/>
      <c r="I594" s="6"/>
    </row>
    <row r="595" spans="4:9" ht="12.75" x14ac:dyDescent="0.2">
      <c r="D595" s="6"/>
      <c r="G595" s="7"/>
      <c r="I595" s="6"/>
    </row>
    <row r="596" spans="4:9" ht="12.75" x14ac:dyDescent="0.2">
      <c r="D596" s="6"/>
      <c r="G596" s="7"/>
      <c r="I596" s="6"/>
    </row>
    <row r="597" spans="4:9" ht="12.75" x14ac:dyDescent="0.2">
      <c r="D597" s="6"/>
      <c r="G597" s="7"/>
      <c r="I597" s="6"/>
    </row>
    <row r="598" spans="4:9" ht="12.75" x14ac:dyDescent="0.2">
      <c r="D598" s="6"/>
      <c r="G598" s="7"/>
      <c r="I598" s="6"/>
    </row>
    <row r="599" spans="4:9" ht="12.75" x14ac:dyDescent="0.2">
      <c r="D599" s="6"/>
      <c r="G599" s="7"/>
      <c r="I599" s="6"/>
    </row>
    <row r="600" spans="4:9" ht="12.75" x14ac:dyDescent="0.2">
      <c r="D600" s="6"/>
      <c r="G600" s="7"/>
      <c r="I600" s="6"/>
    </row>
    <row r="601" spans="4:9" ht="12.75" x14ac:dyDescent="0.2">
      <c r="D601" s="6"/>
      <c r="G601" s="7"/>
      <c r="I601" s="6"/>
    </row>
    <row r="602" spans="4:9" ht="12.75" x14ac:dyDescent="0.2">
      <c r="D602" s="6"/>
      <c r="G602" s="7"/>
      <c r="I602" s="6"/>
    </row>
    <row r="603" spans="4:9" ht="12.75" x14ac:dyDescent="0.2">
      <c r="D603" s="6"/>
      <c r="G603" s="7"/>
      <c r="I603" s="6"/>
    </row>
    <row r="604" spans="4:9" ht="12.75" x14ac:dyDescent="0.2">
      <c r="D604" s="6"/>
      <c r="G604" s="7"/>
      <c r="I604" s="6"/>
    </row>
    <row r="605" spans="4:9" ht="12.75" x14ac:dyDescent="0.2">
      <c r="D605" s="6"/>
      <c r="G605" s="7"/>
      <c r="I605" s="6"/>
    </row>
    <row r="606" spans="4:9" ht="12.75" x14ac:dyDescent="0.2">
      <c r="D606" s="6"/>
      <c r="G606" s="7"/>
      <c r="I606" s="6"/>
    </row>
    <row r="607" spans="4:9" ht="12.75" x14ac:dyDescent="0.2">
      <c r="D607" s="6"/>
      <c r="G607" s="7"/>
      <c r="I607" s="6"/>
    </row>
    <row r="608" spans="4:9" ht="12.75" x14ac:dyDescent="0.2">
      <c r="D608" s="6"/>
      <c r="G608" s="7"/>
      <c r="I608" s="6"/>
    </row>
    <row r="609" spans="4:9" ht="12.75" x14ac:dyDescent="0.2">
      <c r="D609" s="6"/>
      <c r="G609" s="7"/>
      <c r="I609" s="6"/>
    </row>
    <row r="610" spans="4:9" ht="12.75" x14ac:dyDescent="0.2">
      <c r="D610" s="6"/>
      <c r="G610" s="7"/>
      <c r="I610" s="6"/>
    </row>
    <row r="611" spans="4:9" ht="12.75" x14ac:dyDescent="0.2">
      <c r="D611" s="6"/>
      <c r="G611" s="7"/>
      <c r="I611" s="6"/>
    </row>
    <row r="612" spans="4:9" ht="12.75" x14ac:dyDescent="0.2">
      <c r="D612" s="6"/>
      <c r="G612" s="7"/>
      <c r="I612" s="6"/>
    </row>
    <row r="613" spans="4:9" ht="12.75" x14ac:dyDescent="0.2">
      <c r="D613" s="6"/>
      <c r="G613" s="7"/>
      <c r="I613" s="6"/>
    </row>
    <row r="614" spans="4:9" ht="12.75" x14ac:dyDescent="0.2">
      <c r="D614" s="6"/>
      <c r="G614" s="7"/>
      <c r="I614" s="6"/>
    </row>
    <row r="615" spans="4:9" ht="12.75" x14ac:dyDescent="0.2">
      <c r="D615" s="6"/>
      <c r="G615" s="7"/>
      <c r="I615" s="6"/>
    </row>
    <row r="616" spans="4:9" ht="12.75" x14ac:dyDescent="0.2">
      <c r="D616" s="6"/>
      <c r="G616" s="7"/>
      <c r="I616" s="6"/>
    </row>
    <row r="617" spans="4:9" ht="12.75" x14ac:dyDescent="0.2">
      <c r="D617" s="6"/>
      <c r="G617" s="7"/>
      <c r="I617" s="6"/>
    </row>
    <row r="618" spans="4:9" ht="12.75" x14ac:dyDescent="0.2">
      <c r="D618" s="6"/>
      <c r="G618" s="7"/>
      <c r="I618" s="6"/>
    </row>
    <row r="619" spans="4:9" ht="12.75" x14ac:dyDescent="0.2">
      <c r="D619" s="6"/>
      <c r="G619" s="7"/>
      <c r="I619" s="6"/>
    </row>
    <row r="620" spans="4:9" ht="12.75" x14ac:dyDescent="0.2">
      <c r="D620" s="6"/>
      <c r="G620" s="7"/>
      <c r="I620" s="6"/>
    </row>
    <row r="621" spans="4:9" ht="12.75" x14ac:dyDescent="0.2">
      <c r="D621" s="6"/>
      <c r="G621" s="7"/>
      <c r="I621" s="6"/>
    </row>
    <row r="622" spans="4:9" ht="12.75" x14ac:dyDescent="0.2">
      <c r="D622" s="6"/>
      <c r="G622" s="7"/>
      <c r="I622" s="6"/>
    </row>
    <row r="623" spans="4:9" ht="12.75" x14ac:dyDescent="0.2">
      <c r="D623" s="6"/>
      <c r="G623" s="7"/>
      <c r="I623" s="6"/>
    </row>
    <row r="624" spans="4:9" ht="12.75" x14ac:dyDescent="0.2">
      <c r="D624" s="6"/>
      <c r="G624" s="7"/>
      <c r="I624" s="6"/>
    </row>
    <row r="625" spans="4:9" ht="12.75" x14ac:dyDescent="0.2">
      <c r="D625" s="6"/>
      <c r="G625" s="7"/>
      <c r="I625" s="6"/>
    </row>
    <row r="626" spans="4:9" ht="12.75" x14ac:dyDescent="0.2">
      <c r="D626" s="6"/>
      <c r="G626" s="7"/>
      <c r="I626" s="6"/>
    </row>
    <row r="627" spans="4:9" ht="12.75" x14ac:dyDescent="0.2">
      <c r="D627" s="6"/>
      <c r="G627" s="7"/>
      <c r="I627" s="6"/>
    </row>
    <row r="628" spans="4:9" ht="12.75" x14ac:dyDescent="0.2">
      <c r="D628" s="6"/>
      <c r="G628" s="7"/>
      <c r="I628" s="6"/>
    </row>
    <row r="629" spans="4:9" ht="12.75" x14ac:dyDescent="0.2">
      <c r="D629" s="6"/>
      <c r="G629" s="7"/>
      <c r="I629" s="6"/>
    </row>
    <row r="630" spans="4:9" ht="12.75" x14ac:dyDescent="0.2">
      <c r="D630" s="6"/>
      <c r="G630" s="7"/>
      <c r="I630" s="6"/>
    </row>
    <row r="631" spans="4:9" ht="12.75" x14ac:dyDescent="0.2">
      <c r="D631" s="6"/>
      <c r="G631" s="7"/>
      <c r="I631" s="6"/>
    </row>
    <row r="632" spans="4:9" ht="12.75" x14ac:dyDescent="0.2">
      <c r="D632" s="6"/>
      <c r="G632" s="7"/>
      <c r="I632" s="6"/>
    </row>
    <row r="633" spans="4:9" ht="12.75" x14ac:dyDescent="0.2">
      <c r="D633" s="6"/>
      <c r="G633" s="7"/>
      <c r="I633" s="6"/>
    </row>
    <row r="634" spans="4:9" ht="12.75" x14ac:dyDescent="0.2">
      <c r="D634" s="6"/>
      <c r="G634" s="7"/>
      <c r="I634" s="6"/>
    </row>
    <row r="635" spans="4:9" ht="12.75" x14ac:dyDescent="0.2">
      <c r="D635" s="6"/>
      <c r="G635" s="7"/>
      <c r="I635" s="6"/>
    </row>
    <row r="636" spans="4:9" ht="12.75" x14ac:dyDescent="0.2">
      <c r="D636" s="6"/>
      <c r="G636" s="7"/>
      <c r="I636" s="6"/>
    </row>
    <row r="637" spans="4:9" ht="12.75" x14ac:dyDescent="0.2">
      <c r="D637" s="6"/>
      <c r="G637" s="7"/>
      <c r="I637" s="6"/>
    </row>
    <row r="638" spans="4:9" ht="12.75" x14ac:dyDescent="0.2">
      <c r="D638" s="6"/>
      <c r="G638" s="7"/>
      <c r="I638" s="6"/>
    </row>
    <row r="639" spans="4:9" ht="12.75" x14ac:dyDescent="0.2">
      <c r="D639" s="6"/>
      <c r="G639" s="7"/>
      <c r="I639" s="6"/>
    </row>
    <row r="640" spans="4:9" ht="12.75" x14ac:dyDescent="0.2">
      <c r="D640" s="6"/>
      <c r="G640" s="7"/>
      <c r="I640" s="6"/>
    </row>
    <row r="641" spans="4:9" ht="12.75" x14ac:dyDescent="0.2">
      <c r="D641" s="6"/>
      <c r="G641" s="7"/>
      <c r="I641" s="6"/>
    </row>
    <row r="642" spans="4:9" ht="12.75" x14ac:dyDescent="0.2">
      <c r="D642" s="6"/>
      <c r="G642" s="7"/>
      <c r="I642" s="6"/>
    </row>
    <row r="643" spans="4:9" ht="12.75" x14ac:dyDescent="0.2">
      <c r="D643" s="6"/>
      <c r="G643" s="7"/>
      <c r="I643" s="6"/>
    </row>
    <row r="644" spans="4:9" ht="12.75" x14ac:dyDescent="0.2">
      <c r="D644" s="6"/>
      <c r="G644" s="7"/>
      <c r="I644" s="6"/>
    </row>
    <row r="645" spans="4:9" ht="12.75" x14ac:dyDescent="0.2">
      <c r="D645" s="6"/>
      <c r="G645" s="7"/>
      <c r="I645" s="6"/>
    </row>
    <row r="646" spans="4:9" ht="12.75" x14ac:dyDescent="0.2">
      <c r="D646" s="6"/>
      <c r="G646" s="7"/>
      <c r="I646" s="6"/>
    </row>
    <row r="647" spans="4:9" ht="12.75" x14ac:dyDescent="0.2">
      <c r="D647" s="6"/>
      <c r="G647" s="7"/>
      <c r="I647" s="6"/>
    </row>
    <row r="648" spans="4:9" ht="12.75" x14ac:dyDescent="0.2">
      <c r="D648" s="6"/>
      <c r="G648" s="7"/>
      <c r="I648" s="6"/>
    </row>
    <row r="649" spans="4:9" ht="12.75" x14ac:dyDescent="0.2">
      <c r="D649" s="6"/>
      <c r="G649" s="7"/>
      <c r="I649" s="6"/>
    </row>
    <row r="650" spans="4:9" ht="12.75" x14ac:dyDescent="0.2">
      <c r="D650" s="6"/>
      <c r="G650" s="7"/>
      <c r="I650" s="6"/>
    </row>
    <row r="651" spans="4:9" ht="12.75" x14ac:dyDescent="0.2">
      <c r="D651" s="6"/>
      <c r="G651" s="7"/>
      <c r="I651" s="6"/>
    </row>
    <row r="652" spans="4:9" ht="12.75" x14ac:dyDescent="0.2">
      <c r="D652" s="6"/>
      <c r="G652" s="7"/>
      <c r="I652" s="6"/>
    </row>
    <row r="653" spans="4:9" ht="12.75" x14ac:dyDescent="0.2">
      <c r="D653" s="6"/>
      <c r="G653" s="7"/>
      <c r="I653" s="6"/>
    </row>
    <row r="654" spans="4:9" ht="12.75" x14ac:dyDescent="0.2">
      <c r="D654" s="6"/>
      <c r="G654" s="7"/>
      <c r="I654" s="6"/>
    </row>
    <row r="655" spans="4:9" ht="12.75" x14ac:dyDescent="0.2">
      <c r="D655" s="6"/>
      <c r="G655" s="7"/>
      <c r="I655" s="6"/>
    </row>
    <row r="656" spans="4:9" ht="12.75" x14ac:dyDescent="0.2">
      <c r="D656" s="6"/>
      <c r="G656" s="7"/>
      <c r="I656" s="6"/>
    </row>
    <row r="657" spans="4:9" ht="12.75" x14ac:dyDescent="0.2">
      <c r="D657" s="6"/>
      <c r="G657" s="7"/>
      <c r="I657" s="6"/>
    </row>
    <row r="658" spans="4:9" ht="12.75" x14ac:dyDescent="0.2">
      <c r="D658" s="6"/>
      <c r="G658" s="7"/>
      <c r="I658" s="6"/>
    </row>
    <row r="659" spans="4:9" ht="12.75" x14ac:dyDescent="0.2">
      <c r="D659" s="6"/>
      <c r="G659" s="7"/>
      <c r="I659" s="6"/>
    </row>
    <row r="660" spans="4:9" ht="12.75" x14ac:dyDescent="0.2">
      <c r="D660" s="6"/>
      <c r="G660" s="7"/>
      <c r="I660" s="6"/>
    </row>
    <row r="661" spans="4:9" ht="12.75" x14ac:dyDescent="0.2">
      <c r="D661" s="6"/>
      <c r="G661" s="7"/>
      <c r="I661" s="6"/>
    </row>
    <row r="662" spans="4:9" ht="12.75" x14ac:dyDescent="0.2">
      <c r="D662" s="6"/>
      <c r="G662" s="7"/>
      <c r="I662" s="6"/>
    </row>
    <row r="663" spans="4:9" ht="12.75" x14ac:dyDescent="0.2">
      <c r="D663" s="6"/>
      <c r="G663" s="7"/>
      <c r="I663" s="6"/>
    </row>
    <row r="664" spans="4:9" ht="12.75" x14ac:dyDescent="0.2">
      <c r="D664" s="6"/>
      <c r="G664" s="7"/>
      <c r="I664" s="6"/>
    </row>
    <row r="665" spans="4:9" ht="12.75" x14ac:dyDescent="0.2">
      <c r="D665" s="6"/>
      <c r="G665" s="7"/>
      <c r="I665" s="6"/>
    </row>
    <row r="666" spans="4:9" ht="12.75" x14ac:dyDescent="0.2">
      <c r="D666" s="6"/>
      <c r="G666" s="7"/>
      <c r="I666" s="6"/>
    </row>
    <row r="667" spans="4:9" ht="12.75" x14ac:dyDescent="0.2">
      <c r="D667" s="6"/>
      <c r="G667" s="7"/>
      <c r="I667" s="6"/>
    </row>
    <row r="668" spans="4:9" ht="12.75" x14ac:dyDescent="0.2">
      <c r="D668" s="6"/>
      <c r="G668" s="7"/>
      <c r="I668" s="6"/>
    </row>
    <row r="669" spans="4:9" ht="12.75" x14ac:dyDescent="0.2">
      <c r="D669" s="6"/>
      <c r="G669" s="7"/>
      <c r="I669" s="6"/>
    </row>
    <row r="670" spans="4:9" ht="12.75" x14ac:dyDescent="0.2">
      <c r="D670" s="6"/>
      <c r="G670" s="7"/>
      <c r="I670" s="6"/>
    </row>
    <row r="671" spans="4:9" ht="12.75" x14ac:dyDescent="0.2">
      <c r="D671" s="6"/>
      <c r="G671" s="7"/>
      <c r="I671" s="6"/>
    </row>
    <row r="672" spans="4:9" ht="12.75" x14ac:dyDescent="0.2">
      <c r="D672" s="6"/>
      <c r="G672" s="7"/>
      <c r="I672" s="6"/>
    </row>
    <row r="673" spans="4:9" ht="12.75" x14ac:dyDescent="0.2">
      <c r="D673" s="6"/>
      <c r="G673" s="7"/>
      <c r="I673" s="6"/>
    </row>
    <row r="674" spans="4:9" ht="12.75" x14ac:dyDescent="0.2">
      <c r="D674" s="6"/>
      <c r="G674" s="7"/>
      <c r="I674" s="6"/>
    </row>
    <row r="675" spans="4:9" ht="12.75" x14ac:dyDescent="0.2">
      <c r="D675" s="6"/>
      <c r="G675" s="7"/>
      <c r="I675" s="6"/>
    </row>
    <row r="676" spans="4:9" ht="12.75" x14ac:dyDescent="0.2">
      <c r="D676" s="6"/>
      <c r="G676" s="7"/>
      <c r="I676" s="6"/>
    </row>
    <row r="677" spans="4:9" ht="12.75" x14ac:dyDescent="0.2">
      <c r="D677" s="6"/>
      <c r="G677" s="7"/>
      <c r="I677" s="6"/>
    </row>
    <row r="678" spans="4:9" ht="12.75" x14ac:dyDescent="0.2">
      <c r="D678" s="6"/>
      <c r="G678" s="7"/>
      <c r="I678" s="6"/>
    </row>
    <row r="679" spans="4:9" ht="12.75" x14ac:dyDescent="0.2">
      <c r="D679" s="6"/>
      <c r="G679" s="7"/>
      <c r="I679" s="6"/>
    </row>
    <row r="680" spans="4:9" ht="12.75" x14ac:dyDescent="0.2">
      <c r="D680" s="6"/>
      <c r="G680" s="7"/>
      <c r="I680" s="6"/>
    </row>
    <row r="681" spans="4:9" ht="12.75" x14ac:dyDescent="0.2">
      <c r="D681" s="6"/>
      <c r="G681" s="7"/>
      <c r="I681" s="6"/>
    </row>
    <row r="682" spans="4:9" ht="12.75" x14ac:dyDescent="0.2">
      <c r="D682" s="6"/>
      <c r="G682" s="7"/>
      <c r="I682" s="6"/>
    </row>
    <row r="683" spans="4:9" ht="12.75" x14ac:dyDescent="0.2">
      <c r="D683" s="6"/>
      <c r="G683" s="7"/>
      <c r="I683" s="6"/>
    </row>
    <row r="684" spans="4:9" ht="12.75" x14ac:dyDescent="0.2">
      <c r="D684" s="6"/>
      <c r="G684" s="7"/>
      <c r="I684" s="6"/>
    </row>
    <row r="685" spans="4:9" ht="12.75" x14ac:dyDescent="0.2">
      <c r="D685" s="6"/>
      <c r="G685" s="7"/>
      <c r="I685" s="6"/>
    </row>
    <row r="686" spans="4:9" ht="12.75" x14ac:dyDescent="0.2">
      <c r="D686" s="6"/>
      <c r="G686" s="7"/>
      <c r="I686" s="6"/>
    </row>
    <row r="687" spans="4:9" ht="12.75" x14ac:dyDescent="0.2">
      <c r="D687" s="6"/>
      <c r="G687" s="7"/>
      <c r="I687" s="6"/>
    </row>
    <row r="688" spans="4:9" ht="12.75" x14ac:dyDescent="0.2">
      <c r="D688" s="6"/>
      <c r="G688" s="7"/>
      <c r="I688" s="6"/>
    </row>
    <row r="689" spans="4:9" ht="12.75" x14ac:dyDescent="0.2">
      <c r="D689" s="6"/>
      <c r="G689" s="7"/>
      <c r="I689" s="6"/>
    </row>
    <row r="690" spans="4:9" ht="12.75" x14ac:dyDescent="0.2">
      <c r="D690" s="6"/>
      <c r="G690" s="7"/>
      <c r="I690" s="6"/>
    </row>
    <row r="691" spans="4:9" ht="12.75" x14ac:dyDescent="0.2">
      <c r="D691" s="6"/>
      <c r="G691" s="7"/>
      <c r="I691" s="6"/>
    </row>
    <row r="692" spans="4:9" ht="12.75" x14ac:dyDescent="0.2">
      <c r="D692" s="6"/>
      <c r="G692" s="7"/>
      <c r="I692" s="6"/>
    </row>
    <row r="693" spans="4:9" ht="12.75" x14ac:dyDescent="0.2">
      <c r="D693" s="6"/>
      <c r="G693" s="7"/>
      <c r="I693" s="6"/>
    </row>
    <row r="694" spans="4:9" ht="12.75" x14ac:dyDescent="0.2">
      <c r="D694" s="6"/>
      <c r="G694" s="7"/>
      <c r="I694" s="6"/>
    </row>
    <row r="695" spans="4:9" ht="12.75" x14ac:dyDescent="0.2">
      <c r="D695" s="6"/>
      <c r="G695" s="7"/>
      <c r="I695" s="6"/>
    </row>
    <row r="696" spans="4:9" ht="12.75" x14ac:dyDescent="0.2">
      <c r="D696" s="6"/>
      <c r="G696" s="7"/>
      <c r="I696" s="6"/>
    </row>
    <row r="697" spans="4:9" ht="12.75" x14ac:dyDescent="0.2">
      <c r="D697" s="6"/>
      <c r="G697" s="7"/>
      <c r="I697" s="6"/>
    </row>
    <row r="698" spans="4:9" ht="12.75" x14ac:dyDescent="0.2">
      <c r="D698" s="6"/>
      <c r="G698" s="7"/>
      <c r="I698" s="6"/>
    </row>
    <row r="699" spans="4:9" ht="12.75" x14ac:dyDescent="0.2">
      <c r="D699" s="6"/>
      <c r="G699" s="7"/>
      <c r="I699" s="6"/>
    </row>
    <row r="700" spans="4:9" ht="12.75" x14ac:dyDescent="0.2">
      <c r="D700" s="6"/>
      <c r="G700" s="7"/>
      <c r="I700" s="6"/>
    </row>
    <row r="701" spans="4:9" ht="12.75" x14ac:dyDescent="0.2">
      <c r="D701" s="6"/>
      <c r="G701" s="7"/>
      <c r="I701" s="6"/>
    </row>
    <row r="702" spans="4:9" ht="12.75" x14ac:dyDescent="0.2">
      <c r="D702" s="6"/>
      <c r="G702" s="7"/>
      <c r="I702" s="6"/>
    </row>
    <row r="703" spans="4:9" ht="12.75" x14ac:dyDescent="0.2">
      <c r="D703" s="6"/>
      <c r="G703" s="7"/>
      <c r="I703" s="6"/>
    </row>
    <row r="704" spans="4:9" ht="12.75" x14ac:dyDescent="0.2">
      <c r="D704" s="6"/>
      <c r="G704" s="7"/>
      <c r="I704" s="6"/>
    </row>
    <row r="705" spans="4:9" ht="12.75" x14ac:dyDescent="0.2">
      <c r="D705" s="6"/>
      <c r="G705" s="7"/>
      <c r="I705" s="6"/>
    </row>
    <row r="706" spans="4:9" ht="12.75" x14ac:dyDescent="0.2">
      <c r="D706" s="6"/>
      <c r="G706" s="7"/>
      <c r="I706" s="6"/>
    </row>
    <row r="707" spans="4:9" ht="12.75" x14ac:dyDescent="0.2">
      <c r="D707" s="6"/>
      <c r="G707" s="7"/>
      <c r="I707" s="6"/>
    </row>
    <row r="708" spans="4:9" ht="12.75" x14ac:dyDescent="0.2">
      <c r="D708" s="6"/>
      <c r="G708" s="7"/>
      <c r="I708" s="6"/>
    </row>
    <row r="709" spans="4:9" ht="12.75" x14ac:dyDescent="0.2">
      <c r="D709" s="6"/>
      <c r="G709" s="7"/>
      <c r="I709" s="6"/>
    </row>
    <row r="710" spans="4:9" ht="12.75" x14ac:dyDescent="0.2">
      <c r="D710" s="6"/>
      <c r="G710" s="7"/>
      <c r="I710" s="6"/>
    </row>
    <row r="711" spans="4:9" ht="12.75" x14ac:dyDescent="0.2">
      <c r="D711" s="6"/>
      <c r="G711" s="7"/>
      <c r="I711" s="6"/>
    </row>
    <row r="712" spans="4:9" ht="12.75" x14ac:dyDescent="0.2">
      <c r="D712" s="6"/>
      <c r="G712" s="7"/>
      <c r="I712" s="6"/>
    </row>
    <row r="713" spans="4:9" ht="12.75" x14ac:dyDescent="0.2">
      <c r="D713" s="6"/>
      <c r="G713" s="7"/>
      <c r="I713" s="6"/>
    </row>
    <row r="714" spans="4:9" ht="12.75" x14ac:dyDescent="0.2">
      <c r="D714" s="6"/>
      <c r="G714" s="7"/>
      <c r="I714" s="6"/>
    </row>
    <row r="715" spans="4:9" ht="12.75" x14ac:dyDescent="0.2">
      <c r="D715" s="6"/>
      <c r="G715" s="7"/>
      <c r="I715" s="6"/>
    </row>
    <row r="716" spans="4:9" ht="12.75" x14ac:dyDescent="0.2">
      <c r="D716" s="6"/>
      <c r="G716" s="7"/>
      <c r="I716" s="6"/>
    </row>
    <row r="717" spans="4:9" ht="12.75" x14ac:dyDescent="0.2">
      <c r="D717" s="6"/>
      <c r="G717" s="7"/>
      <c r="I717" s="6"/>
    </row>
    <row r="718" spans="4:9" ht="12.75" x14ac:dyDescent="0.2">
      <c r="D718" s="6"/>
      <c r="G718" s="7"/>
      <c r="I718" s="6"/>
    </row>
    <row r="719" spans="4:9" ht="12.75" x14ac:dyDescent="0.2">
      <c r="D719" s="6"/>
      <c r="G719" s="7"/>
      <c r="I719" s="6"/>
    </row>
    <row r="720" spans="4:9" ht="12.75" x14ac:dyDescent="0.2">
      <c r="D720" s="6"/>
      <c r="G720" s="7"/>
      <c r="I720" s="6"/>
    </row>
    <row r="721" spans="4:9" ht="12.75" x14ac:dyDescent="0.2">
      <c r="D721" s="6"/>
      <c r="G721" s="7"/>
      <c r="I721" s="6"/>
    </row>
    <row r="722" spans="4:9" ht="12.75" x14ac:dyDescent="0.2">
      <c r="D722" s="6"/>
      <c r="G722" s="7"/>
      <c r="I722" s="6"/>
    </row>
    <row r="723" spans="4:9" ht="12.75" x14ac:dyDescent="0.2">
      <c r="D723" s="6"/>
      <c r="G723" s="7"/>
      <c r="I723" s="6"/>
    </row>
    <row r="724" spans="4:9" ht="12.75" x14ac:dyDescent="0.2">
      <c r="D724" s="6"/>
      <c r="G724" s="7"/>
      <c r="I724" s="6"/>
    </row>
    <row r="725" spans="4:9" ht="12.75" x14ac:dyDescent="0.2">
      <c r="D725" s="6"/>
      <c r="G725" s="7"/>
      <c r="I725" s="6"/>
    </row>
    <row r="726" spans="4:9" ht="12.75" x14ac:dyDescent="0.2">
      <c r="D726" s="6"/>
      <c r="G726" s="7"/>
      <c r="I726" s="6"/>
    </row>
    <row r="727" spans="4:9" ht="12.75" x14ac:dyDescent="0.2">
      <c r="D727" s="6"/>
      <c r="G727" s="7"/>
      <c r="I727" s="6"/>
    </row>
    <row r="728" spans="4:9" ht="12.75" x14ac:dyDescent="0.2">
      <c r="D728" s="6"/>
      <c r="G728" s="7"/>
      <c r="I728" s="6"/>
    </row>
    <row r="729" spans="4:9" ht="12.75" x14ac:dyDescent="0.2">
      <c r="D729" s="6"/>
      <c r="G729" s="7"/>
      <c r="I729" s="6"/>
    </row>
    <row r="730" spans="4:9" ht="12.75" x14ac:dyDescent="0.2">
      <c r="D730" s="6"/>
      <c r="G730" s="7"/>
      <c r="I730" s="6"/>
    </row>
    <row r="731" spans="4:9" ht="12.75" x14ac:dyDescent="0.2">
      <c r="D731" s="6"/>
      <c r="G731" s="7"/>
      <c r="I731" s="6"/>
    </row>
    <row r="732" spans="4:9" ht="12.75" x14ac:dyDescent="0.2">
      <c r="D732" s="6"/>
      <c r="G732" s="7"/>
      <c r="I732" s="6"/>
    </row>
    <row r="733" spans="4:9" ht="12.75" x14ac:dyDescent="0.2">
      <c r="D733" s="6"/>
      <c r="G733" s="7"/>
      <c r="I733" s="6"/>
    </row>
    <row r="734" spans="4:9" ht="12.75" x14ac:dyDescent="0.2">
      <c r="D734" s="6"/>
      <c r="G734" s="7"/>
      <c r="I734" s="6"/>
    </row>
    <row r="735" spans="4:9" ht="12.75" x14ac:dyDescent="0.2">
      <c r="D735" s="6"/>
      <c r="G735" s="7"/>
      <c r="I735" s="6"/>
    </row>
    <row r="736" spans="4:9" ht="12.75" x14ac:dyDescent="0.2">
      <c r="D736" s="6"/>
      <c r="G736" s="7"/>
      <c r="I736" s="6"/>
    </row>
    <row r="737" spans="4:9" ht="12.75" x14ac:dyDescent="0.2">
      <c r="D737" s="6"/>
      <c r="G737" s="7"/>
      <c r="I737" s="6"/>
    </row>
    <row r="738" spans="4:9" ht="12.75" x14ac:dyDescent="0.2">
      <c r="D738" s="6"/>
      <c r="G738" s="7"/>
      <c r="I738" s="6"/>
    </row>
    <row r="739" spans="4:9" ht="12.75" x14ac:dyDescent="0.2">
      <c r="D739" s="6"/>
      <c r="G739" s="7"/>
      <c r="I739" s="6"/>
    </row>
    <row r="740" spans="4:9" ht="12.75" x14ac:dyDescent="0.2">
      <c r="D740" s="6"/>
      <c r="G740" s="7"/>
      <c r="I740" s="6"/>
    </row>
    <row r="741" spans="4:9" ht="12.75" x14ac:dyDescent="0.2">
      <c r="D741" s="6"/>
      <c r="G741" s="7"/>
      <c r="I741" s="6"/>
    </row>
    <row r="742" spans="4:9" ht="12.75" x14ac:dyDescent="0.2">
      <c r="D742" s="6"/>
      <c r="G742" s="7"/>
      <c r="I742" s="6"/>
    </row>
    <row r="743" spans="4:9" ht="12.75" x14ac:dyDescent="0.2">
      <c r="D743" s="6"/>
      <c r="G743" s="7"/>
      <c r="I743" s="6"/>
    </row>
    <row r="744" spans="4:9" ht="12.75" x14ac:dyDescent="0.2">
      <c r="D744" s="6"/>
      <c r="G744" s="7"/>
      <c r="I744" s="6"/>
    </row>
    <row r="745" spans="4:9" ht="12.75" x14ac:dyDescent="0.2">
      <c r="D745" s="6"/>
      <c r="G745" s="7"/>
      <c r="I745" s="6"/>
    </row>
    <row r="746" spans="4:9" ht="12.75" x14ac:dyDescent="0.2">
      <c r="D746" s="6"/>
      <c r="G746" s="7"/>
      <c r="I746" s="6"/>
    </row>
    <row r="747" spans="4:9" ht="12.75" x14ac:dyDescent="0.2">
      <c r="D747" s="6"/>
      <c r="G747" s="7"/>
      <c r="I747" s="6"/>
    </row>
    <row r="748" spans="4:9" ht="12.75" x14ac:dyDescent="0.2">
      <c r="D748" s="6"/>
      <c r="G748" s="7"/>
      <c r="I748" s="6"/>
    </row>
    <row r="749" spans="4:9" ht="12.75" x14ac:dyDescent="0.2">
      <c r="D749" s="6"/>
      <c r="G749" s="7"/>
      <c r="I749" s="6"/>
    </row>
    <row r="750" spans="4:9" ht="12.75" x14ac:dyDescent="0.2">
      <c r="D750" s="6"/>
      <c r="G750" s="7"/>
      <c r="I750" s="6"/>
    </row>
    <row r="751" spans="4:9" ht="12.75" x14ac:dyDescent="0.2">
      <c r="D751" s="6"/>
      <c r="G751" s="7"/>
      <c r="I751" s="6"/>
    </row>
    <row r="752" spans="4:9" ht="12.75" x14ac:dyDescent="0.2">
      <c r="D752" s="6"/>
      <c r="G752" s="7"/>
      <c r="I752" s="6"/>
    </row>
    <row r="753" spans="4:9" ht="12.75" x14ac:dyDescent="0.2">
      <c r="D753" s="6"/>
      <c r="G753" s="7"/>
      <c r="I753" s="6"/>
    </row>
    <row r="754" spans="4:9" ht="12.75" x14ac:dyDescent="0.2">
      <c r="D754" s="6"/>
      <c r="G754" s="7"/>
      <c r="I754" s="6"/>
    </row>
    <row r="755" spans="4:9" ht="12.75" x14ac:dyDescent="0.2">
      <c r="D755" s="6"/>
      <c r="G755" s="7"/>
      <c r="I755" s="6"/>
    </row>
    <row r="756" spans="4:9" ht="12.75" x14ac:dyDescent="0.2">
      <c r="D756" s="6"/>
      <c r="G756" s="7"/>
      <c r="I756" s="6"/>
    </row>
    <row r="757" spans="4:9" ht="12.75" x14ac:dyDescent="0.2">
      <c r="D757" s="6"/>
      <c r="G757" s="7"/>
      <c r="I757" s="6"/>
    </row>
    <row r="758" spans="4:9" ht="12.75" x14ac:dyDescent="0.2">
      <c r="D758" s="6"/>
      <c r="G758" s="7"/>
      <c r="I758" s="6"/>
    </row>
    <row r="759" spans="4:9" ht="12.75" x14ac:dyDescent="0.2">
      <c r="D759" s="6"/>
      <c r="G759" s="7"/>
      <c r="I759" s="6"/>
    </row>
    <row r="760" spans="4:9" ht="12.75" x14ac:dyDescent="0.2">
      <c r="D760" s="6"/>
      <c r="G760" s="7"/>
      <c r="I760" s="6"/>
    </row>
    <row r="761" spans="4:9" ht="12.75" x14ac:dyDescent="0.2">
      <c r="D761" s="6"/>
      <c r="G761" s="7"/>
      <c r="I761" s="6"/>
    </row>
    <row r="762" spans="4:9" ht="12.75" x14ac:dyDescent="0.2">
      <c r="D762" s="6"/>
      <c r="G762" s="7"/>
      <c r="I762" s="6"/>
    </row>
    <row r="763" spans="4:9" ht="12.75" x14ac:dyDescent="0.2">
      <c r="D763" s="6"/>
      <c r="G763" s="7"/>
      <c r="I763" s="6"/>
    </row>
    <row r="764" spans="4:9" ht="12.75" x14ac:dyDescent="0.2">
      <c r="D764" s="6"/>
      <c r="G764" s="7"/>
      <c r="I764" s="6"/>
    </row>
    <row r="765" spans="4:9" ht="12.75" x14ac:dyDescent="0.2">
      <c r="D765" s="6"/>
      <c r="G765" s="7"/>
      <c r="I765" s="6"/>
    </row>
    <row r="766" spans="4:9" ht="12.75" x14ac:dyDescent="0.2">
      <c r="D766" s="6"/>
      <c r="G766" s="7"/>
      <c r="I766" s="6"/>
    </row>
    <row r="767" spans="4:9" ht="12.75" x14ac:dyDescent="0.2">
      <c r="D767" s="6"/>
      <c r="G767" s="7"/>
      <c r="I767" s="6"/>
    </row>
    <row r="768" spans="4:9" ht="12.75" x14ac:dyDescent="0.2">
      <c r="D768" s="6"/>
      <c r="G768" s="7"/>
      <c r="I768" s="6"/>
    </row>
    <row r="769" spans="4:9" ht="12.75" x14ac:dyDescent="0.2">
      <c r="D769" s="6"/>
      <c r="G769" s="7"/>
      <c r="I769" s="6"/>
    </row>
    <row r="770" spans="4:9" ht="12.75" x14ac:dyDescent="0.2">
      <c r="D770" s="6"/>
      <c r="G770" s="7"/>
      <c r="I770" s="6"/>
    </row>
    <row r="771" spans="4:9" ht="12.75" x14ac:dyDescent="0.2">
      <c r="D771" s="6"/>
      <c r="G771" s="7"/>
      <c r="I771" s="6"/>
    </row>
    <row r="772" spans="4:9" ht="12.75" x14ac:dyDescent="0.2">
      <c r="D772" s="6"/>
      <c r="G772" s="7"/>
      <c r="I772" s="6"/>
    </row>
    <row r="773" spans="4:9" ht="12.75" x14ac:dyDescent="0.2">
      <c r="D773" s="6"/>
      <c r="G773" s="7"/>
      <c r="I773" s="6"/>
    </row>
    <row r="774" spans="4:9" ht="12.75" x14ac:dyDescent="0.2">
      <c r="D774" s="6"/>
      <c r="G774" s="7"/>
      <c r="I774" s="6"/>
    </row>
    <row r="775" spans="4:9" ht="12.75" x14ac:dyDescent="0.2">
      <c r="D775" s="6"/>
      <c r="G775" s="7"/>
      <c r="I775" s="6"/>
    </row>
    <row r="776" spans="4:9" ht="12.75" x14ac:dyDescent="0.2">
      <c r="D776" s="6"/>
      <c r="G776" s="7"/>
      <c r="I776" s="6"/>
    </row>
    <row r="777" spans="4:9" ht="12.75" x14ac:dyDescent="0.2">
      <c r="D777" s="6"/>
      <c r="G777" s="7"/>
      <c r="I777" s="6"/>
    </row>
    <row r="778" spans="4:9" ht="12.75" x14ac:dyDescent="0.2">
      <c r="D778" s="6"/>
      <c r="G778" s="7"/>
      <c r="I778" s="6"/>
    </row>
    <row r="779" spans="4:9" ht="12.75" x14ac:dyDescent="0.2">
      <c r="D779" s="6"/>
      <c r="G779" s="7"/>
      <c r="I779" s="6"/>
    </row>
    <row r="780" spans="4:9" ht="12.75" x14ac:dyDescent="0.2">
      <c r="D780" s="6"/>
      <c r="G780" s="7"/>
      <c r="I780" s="6"/>
    </row>
    <row r="781" spans="4:9" ht="12.75" x14ac:dyDescent="0.2">
      <c r="D781" s="6"/>
      <c r="G781" s="7"/>
      <c r="I781" s="6"/>
    </row>
    <row r="782" spans="4:9" ht="12.75" x14ac:dyDescent="0.2">
      <c r="D782" s="6"/>
      <c r="G782" s="7"/>
      <c r="I782" s="6"/>
    </row>
    <row r="783" spans="4:9" ht="12.75" x14ac:dyDescent="0.2">
      <c r="D783" s="6"/>
      <c r="G783" s="7"/>
      <c r="I783" s="6"/>
    </row>
    <row r="784" spans="4:9" ht="12.75" x14ac:dyDescent="0.2">
      <c r="D784" s="6"/>
      <c r="G784" s="7"/>
      <c r="I784" s="6"/>
    </row>
    <row r="785" spans="4:9" ht="12.75" x14ac:dyDescent="0.2">
      <c r="D785" s="6"/>
      <c r="G785" s="7"/>
      <c r="I785" s="6"/>
    </row>
    <row r="786" spans="4:9" ht="12.75" x14ac:dyDescent="0.2">
      <c r="D786" s="6"/>
      <c r="G786" s="7"/>
      <c r="I786" s="6"/>
    </row>
    <row r="787" spans="4:9" ht="12.75" x14ac:dyDescent="0.2">
      <c r="D787" s="6"/>
      <c r="G787" s="7"/>
      <c r="I787" s="6"/>
    </row>
    <row r="788" spans="4:9" ht="12.75" x14ac:dyDescent="0.2">
      <c r="D788" s="6"/>
      <c r="G788" s="7"/>
      <c r="I788" s="6"/>
    </row>
    <row r="789" spans="4:9" ht="12.75" x14ac:dyDescent="0.2">
      <c r="D789" s="6"/>
      <c r="G789" s="7"/>
      <c r="I789" s="6"/>
    </row>
    <row r="790" spans="4:9" ht="12.75" x14ac:dyDescent="0.2">
      <c r="D790" s="6"/>
      <c r="G790" s="7"/>
      <c r="I790" s="6"/>
    </row>
    <row r="791" spans="4:9" ht="12.75" x14ac:dyDescent="0.2">
      <c r="D791" s="6"/>
      <c r="G791" s="7"/>
      <c r="I791" s="6"/>
    </row>
    <row r="792" spans="4:9" ht="12.75" x14ac:dyDescent="0.2">
      <c r="D792" s="6"/>
      <c r="G792" s="7"/>
      <c r="I792" s="6"/>
    </row>
    <row r="793" spans="4:9" ht="12.75" x14ac:dyDescent="0.2">
      <c r="D793" s="6"/>
      <c r="G793" s="7"/>
      <c r="I793" s="6"/>
    </row>
    <row r="794" spans="4:9" ht="12.75" x14ac:dyDescent="0.2">
      <c r="D794" s="6"/>
      <c r="G794" s="7"/>
      <c r="I794" s="6"/>
    </row>
    <row r="795" spans="4:9" ht="12.75" x14ac:dyDescent="0.2">
      <c r="D795" s="6"/>
      <c r="G795" s="7"/>
      <c r="I795" s="6"/>
    </row>
    <row r="796" spans="4:9" ht="12.75" x14ac:dyDescent="0.2">
      <c r="D796" s="6"/>
      <c r="G796" s="7"/>
      <c r="I796" s="6"/>
    </row>
    <row r="797" spans="4:9" ht="12.75" x14ac:dyDescent="0.2">
      <c r="D797" s="6"/>
      <c r="G797" s="7"/>
      <c r="I797" s="6"/>
    </row>
    <row r="798" spans="4:9" ht="12.75" x14ac:dyDescent="0.2">
      <c r="D798" s="6"/>
      <c r="G798" s="7"/>
      <c r="I798" s="6"/>
    </row>
    <row r="799" spans="4:9" ht="12.75" x14ac:dyDescent="0.2">
      <c r="D799" s="6"/>
      <c r="G799" s="7"/>
      <c r="I799" s="6"/>
    </row>
    <row r="800" spans="4:9" ht="12.75" x14ac:dyDescent="0.2">
      <c r="D800" s="6"/>
      <c r="G800" s="7"/>
      <c r="I800" s="6"/>
    </row>
    <row r="801" spans="4:9" ht="12.75" x14ac:dyDescent="0.2">
      <c r="D801" s="6"/>
      <c r="G801" s="7"/>
      <c r="I801" s="6"/>
    </row>
    <row r="802" spans="4:9" ht="12.75" x14ac:dyDescent="0.2">
      <c r="D802" s="6"/>
      <c r="G802" s="7"/>
      <c r="I802" s="6"/>
    </row>
    <row r="803" spans="4:9" ht="12.75" x14ac:dyDescent="0.2">
      <c r="D803" s="6"/>
      <c r="G803" s="7"/>
      <c r="I803" s="6"/>
    </row>
    <row r="804" spans="4:9" ht="12.75" x14ac:dyDescent="0.2">
      <c r="D804" s="6"/>
      <c r="G804" s="7"/>
      <c r="I804" s="6"/>
    </row>
    <row r="805" spans="4:9" ht="12.75" x14ac:dyDescent="0.2">
      <c r="D805" s="6"/>
      <c r="G805" s="7"/>
      <c r="I805" s="6"/>
    </row>
    <row r="806" spans="4:9" ht="12.75" x14ac:dyDescent="0.2">
      <c r="D806" s="6"/>
      <c r="G806" s="7"/>
      <c r="I806" s="6"/>
    </row>
    <row r="807" spans="4:9" ht="12.75" x14ac:dyDescent="0.2">
      <c r="D807" s="6"/>
      <c r="G807" s="7"/>
      <c r="I807" s="6"/>
    </row>
    <row r="808" spans="4:9" ht="12.75" x14ac:dyDescent="0.2">
      <c r="D808" s="6"/>
      <c r="G808" s="7"/>
      <c r="I808" s="6"/>
    </row>
    <row r="809" spans="4:9" ht="12.75" x14ac:dyDescent="0.2">
      <c r="D809" s="6"/>
      <c r="G809" s="7"/>
      <c r="I809" s="6"/>
    </row>
    <row r="810" spans="4:9" ht="12.75" x14ac:dyDescent="0.2">
      <c r="D810" s="6"/>
      <c r="G810" s="7"/>
      <c r="I810" s="6"/>
    </row>
    <row r="811" spans="4:9" ht="12.75" x14ac:dyDescent="0.2">
      <c r="D811" s="6"/>
      <c r="G811" s="7"/>
      <c r="I811" s="6"/>
    </row>
    <row r="812" spans="4:9" ht="12.75" x14ac:dyDescent="0.2">
      <c r="D812" s="6"/>
      <c r="G812" s="7"/>
      <c r="I812" s="6"/>
    </row>
    <row r="813" spans="4:9" ht="12.75" x14ac:dyDescent="0.2">
      <c r="D813" s="6"/>
      <c r="G813" s="7"/>
      <c r="I813" s="6"/>
    </row>
    <row r="814" spans="4:9" ht="12.75" x14ac:dyDescent="0.2">
      <c r="D814" s="6"/>
      <c r="G814" s="7"/>
      <c r="I814" s="6"/>
    </row>
    <row r="815" spans="4:9" ht="12.75" x14ac:dyDescent="0.2">
      <c r="D815" s="6"/>
      <c r="G815" s="7"/>
      <c r="I815" s="6"/>
    </row>
    <row r="816" spans="4:9" ht="12.75" x14ac:dyDescent="0.2">
      <c r="D816" s="6"/>
      <c r="G816" s="7"/>
      <c r="I816" s="6"/>
    </row>
    <row r="817" spans="4:9" ht="12.75" x14ac:dyDescent="0.2">
      <c r="D817" s="6"/>
      <c r="G817" s="7"/>
      <c r="I817" s="6"/>
    </row>
    <row r="818" spans="4:9" ht="12.75" x14ac:dyDescent="0.2">
      <c r="D818" s="6"/>
      <c r="G818" s="7"/>
      <c r="I818" s="6"/>
    </row>
    <row r="819" spans="4:9" ht="12.75" x14ac:dyDescent="0.2">
      <c r="D819" s="6"/>
      <c r="G819" s="7"/>
      <c r="I819" s="6"/>
    </row>
    <row r="820" spans="4:9" ht="12.75" x14ac:dyDescent="0.2">
      <c r="D820" s="6"/>
      <c r="G820" s="7"/>
      <c r="I820" s="6"/>
    </row>
    <row r="821" spans="4:9" ht="12.75" x14ac:dyDescent="0.2">
      <c r="D821" s="6"/>
      <c r="G821" s="7"/>
      <c r="I821" s="6"/>
    </row>
    <row r="822" spans="4:9" ht="12.75" x14ac:dyDescent="0.2">
      <c r="D822" s="6"/>
      <c r="G822" s="7"/>
      <c r="I822" s="6"/>
    </row>
    <row r="823" spans="4:9" ht="12.75" x14ac:dyDescent="0.2">
      <c r="D823" s="6"/>
      <c r="G823" s="7"/>
      <c r="I823" s="6"/>
    </row>
    <row r="824" spans="4:9" ht="12.75" x14ac:dyDescent="0.2">
      <c r="D824" s="6"/>
      <c r="G824" s="7"/>
      <c r="I824" s="6"/>
    </row>
    <row r="825" spans="4:9" ht="12.75" x14ac:dyDescent="0.2">
      <c r="D825" s="6"/>
      <c r="G825" s="7"/>
      <c r="I825" s="6"/>
    </row>
    <row r="826" spans="4:9" ht="12.75" x14ac:dyDescent="0.2">
      <c r="D826" s="6"/>
      <c r="G826" s="7"/>
      <c r="I826" s="6"/>
    </row>
    <row r="827" spans="4:9" ht="12.75" x14ac:dyDescent="0.2">
      <c r="D827" s="6"/>
      <c r="G827" s="7"/>
      <c r="I827" s="6"/>
    </row>
    <row r="828" spans="4:9" ht="12.75" x14ac:dyDescent="0.2">
      <c r="D828" s="6"/>
      <c r="G828" s="7"/>
      <c r="I828" s="6"/>
    </row>
    <row r="829" spans="4:9" ht="12.75" x14ac:dyDescent="0.2">
      <c r="D829" s="6"/>
      <c r="G829" s="7"/>
      <c r="I829" s="6"/>
    </row>
    <row r="830" spans="4:9" ht="12.75" x14ac:dyDescent="0.2">
      <c r="D830" s="6"/>
      <c r="G830" s="7"/>
      <c r="I830" s="6"/>
    </row>
    <row r="831" spans="4:9" ht="12.75" x14ac:dyDescent="0.2">
      <c r="D831" s="6"/>
      <c r="G831" s="7"/>
      <c r="I831" s="6"/>
    </row>
    <row r="832" spans="4:9" ht="12.75" x14ac:dyDescent="0.2">
      <c r="D832" s="6"/>
      <c r="G832" s="7"/>
      <c r="I832" s="6"/>
    </row>
    <row r="833" spans="4:9" ht="12.75" x14ac:dyDescent="0.2">
      <c r="D833" s="6"/>
      <c r="G833" s="7"/>
      <c r="I833" s="6"/>
    </row>
    <row r="834" spans="4:9" ht="12.75" x14ac:dyDescent="0.2">
      <c r="D834" s="6"/>
      <c r="G834" s="7"/>
      <c r="I834" s="6"/>
    </row>
    <row r="835" spans="4:9" ht="12.75" x14ac:dyDescent="0.2">
      <c r="D835" s="6"/>
      <c r="G835" s="7"/>
      <c r="I835" s="6"/>
    </row>
    <row r="836" spans="4:9" ht="12.75" x14ac:dyDescent="0.2">
      <c r="D836" s="6"/>
      <c r="G836" s="7"/>
      <c r="I836" s="6"/>
    </row>
    <row r="837" spans="4:9" ht="12.75" x14ac:dyDescent="0.2">
      <c r="D837" s="6"/>
      <c r="G837" s="7"/>
      <c r="I837" s="6"/>
    </row>
    <row r="838" spans="4:9" ht="12.75" x14ac:dyDescent="0.2">
      <c r="D838" s="6"/>
      <c r="G838" s="7"/>
      <c r="I838" s="6"/>
    </row>
    <row r="839" spans="4:9" ht="12.75" x14ac:dyDescent="0.2">
      <c r="D839" s="6"/>
      <c r="G839" s="7"/>
      <c r="I839" s="6"/>
    </row>
    <row r="840" spans="4:9" ht="12.75" x14ac:dyDescent="0.2">
      <c r="D840" s="6"/>
      <c r="G840" s="7"/>
      <c r="I840" s="6"/>
    </row>
    <row r="841" spans="4:9" ht="12.75" x14ac:dyDescent="0.2">
      <c r="D841" s="6"/>
      <c r="G841" s="7"/>
      <c r="I841" s="6"/>
    </row>
    <row r="842" spans="4:9" ht="12.75" x14ac:dyDescent="0.2">
      <c r="D842" s="6"/>
      <c r="G842" s="7"/>
      <c r="I842" s="6"/>
    </row>
    <row r="843" spans="4:9" ht="12.75" x14ac:dyDescent="0.2">
      <c r="D843" s="6"/>
      <c r="G843" s="7"/>
      <c r="I843" s="6"/>
    </row>
    <row r="844" spans="4:9" ht="12.75" x14ac:dyDescent="0.2">
      <c r="D844" s="6"/>
      <c r="G844" s="7"/>
      <c r="I844" s="6"/>
    </row>
    <row r="845" spans="4:9" ht="12.75" x14ac:dyDescent="0.2">
      <c r="D845" s="6"/>
      <c r="G845" s="7"/>
      <c r="I845" s="6"/>
    </row>
    <row r="846" spans="4:9" ht="12.75" x14ac:dyDescent="0.2">
      <c r="D846" s="6"/>
      <c r="G846" s="7"/>
      <c r="I846" s="6"/>
    </row>
    <row r="847" spans="4:9" ht="12.75" x14ac:dyDescent="0.2">
      <c r="D847" s="6"/>
      <c r="G847" s="7"/>
      <c r="I847" s="6"/>
    </row>
    <row r="848" spans="4:9" ht="12.75" x14ac:dyDescent="0.2">
      <c r="D848" s="6"/>
      <c r="G848" s="7"/>
      <c r="I848" s="6"/>
    </row>
    <row r="849" spans="4:9" ht="12.75" x14ac:dyDescent="0.2">
      <c r="D849" s="6"/>
      <c r="G849" s="7"/>
      <c r="I849" s="6"/>
    </row>
    <row r="850" spans="4:9" ht="12.75" x14ac:dyDescent="0.2">
      <c r="D850" s="6"/>
      <c r="G850" s="7"/>
      <c r="I850" s="6"/>
    </row>
    <row r="851" spans="4:9" ht="12.75" x14ac:dyDescent="0.2">
      <c r="D851" s="6"/>
      <c r="G851" s="7"/>
      <c r="I851" s="6"/>
    </row>
    <row r="852" spans="4:9" ht="12.75" x14ac:dyDescent="0.2">
      <c r="D852" s="6"/>
      <c r="G852" s="7"/>
      <c r="I852" s="6"/>
    </row>
    <row r="853" spans="4:9" ht="12.75" x14ac:dyDescent="0.2">
      <c r="D853" s="6"/>
      <c r="G853" s="7"/>
      <c r="I853" s="6"/>
    </row>
    <row r="854" spans="4:9" ht="12.75" x14ac:dyDescent="0.2">
      <c r="D854" s="6"/>
      <c r="G854" s="7"/>
      <c r="I854" s="6"/>
    </row>
    <row r="855" spans="4:9" ht="12.75" x14ac:dyDescent="0.2">
      <c r="D855" s="6"/>
      <c r="G855" s="7"/>
      <c r="I855" s="6"/>
    </row>
    <row r="856" spans="4:9" ht="12.75" x14ac:dyDescent="0.2">
      <c r="D856" s="6"/>
      <c r="G856" s="7"/>
      <c r="I856" s="6"/>
    </row>
    <row r="857" spans="4:9" ht="12.75" x14ac:dyDescent="0.2">
      <c r="D857" s="6"/>
      <c r="G857" s="7"/>
      <c r="I857" s="6"/>
    </row>
    <row r="858" spans="4:9" ht="12.75" x14ac:dyDescent="0.2">
      <c r="D858" s="6"/>
      <c r="G858" s="7"/>
      <c r="I858" s="6"/>
    </row>
    <row r="859" spans="4:9" ht="12.75" x14ac:dyDescent="0.2">
      <c r="D859" s="6"/>
      <c r="G859" s="7"/>
      <c r="I859" s="6"/>
    </row>
    <row r="860" spans="4:9" ht="12.75" x14ac:dyDescent="0.2">
      <c r="D860" s="6"/>
      <c r="G860" s="7"/>
      <c r="I860" s="6"/>
    </row>
    <row r="861" spans="4:9" ht="12.75" x14ac:dyDescent="0.2">
      <c r="D861" s="6"/>
      <c r="G861" s="7"/>
      <c r="I861" s="6"/>
    </row>
    <row r="862" spans="4:9" ht="12.75" x14ac:dyDescent="0.2">
      <c r="D862" s="6"/>
      <c r="G862" s="7"/>
      <c r="I862" s="6"/>
    </row>
    <row r="863" spans="4:9" ht="12.75" x14ac:dyDescent="0.2">
      <c r="D863" s="6"/>
      <c r="G863" s="7"/>
      <c r="I863" s="6"/>
    </row>
    <row r="864" spans="4:9" ht="12.75" x14ac:dyDescent="0.2">
      <c r="D864" s="6"/>
      <c r="G864" s="7"/>
      <c r="I864" s="6"/>
    </row>
    <row r="865" spans="4:9" ht="12.75" x14ac:dyDescent="0.2">
      <c r="D865" s="6"/>
      <c r="G865" s="7"/>
      <c r="I865" s="6"/>
    </row>
    <row r="866" spans="4:9" ht="12.75" x14ac:dyDescent="0.2">
      <c r="D866" s="6"/>
      <c r="G866" s="7"/>
      <c r="I866" s="6"/>
    </row>
    <row r="867" spans="4:9" ht="12.75" x14ac:dyDescent="0.2">
      <c r="D867" s="6"/>
      <c r="G867" s="7"/>
      <c r="I867" s="6"/>
    </row>
    <row r="868" spans="4:9" ht="12.75" x14ac:dyDescent="0.2">
      <c r="D868" s="6"/>
      <c r="G868" s="7"/>
      <c r="I868" s="6"/>
    </row>
    <row r="869" spans="4:9" ht="12.75" x14ac:dyDescent="0.2">
      <c r="D869" s="6"/>
      <c r="G869" s="7"/>
      <c r="I869" s="6"/>
    </row>
    <row r="870" spans="4:9" ht="12.75" x14ac:dyDescent="0.2">
      <c r="D870" s="6"/>
      <c r="G870" s="7"/>
      <c r="I870" s="6"/>
    </row>
    <row r="871" spans="4:9" ht="12.75" x14ac:dyDescent="0.2">
      <c r="D871" s="6"/>
      <c r="G871" s="7"/>
      <c r="I871" s="6"/>
    </row>
    <row r="872" spans="4:9" ht="12.75" x14ac:dyDescent="0.2">
      <c r="D872" s="6"/>
      <c r="G872" s="7"/>
      <c r="I872" s="6"/>
    </row>
    <row r="873" spans="4:9" ht="12.75" x14ac:dyDescent="0.2">
      <c r="D873" s="6"/>
      <c r="G873" s="7"/>
      <c r="I873" s="6"/>
    </row>
    <row r="874" spans="4:9" ht="12.75" x14ac:dyDescent="0.2">
      <c r="D874" s="6"/>
      <c r="G874" s="7"/>
      <c r="I874" s="6"/>
    </row>
    <row r="875" spans="4:9" ht="12.75" x14ac:dyDescent="0.2">
      <c r="D875" s="6"/>
      <c r="G875" s="7"/>
      <c r="I875" s="6"/>
    </row>
    <row r="876" spans="4:9" ht="12.75" x14ac:dyDescent="0.2">
      <c r="D876" s="6"/>
      <c r="G876" s="7"/>
      <c r="I876" s="6"/>
    </row>
    <row r="877" spans="4:9" ht="12.75" x14ac:dyDescent="0.2">
      <c r="D877" s="6"/>
      <c r="G877" s="7"/>
      <c r="I877" s="6"/>
    </row>
    <row r="878" spans="4:9" ht="12.75" x14ac:dyDescent="0.2">
      <c r="D878" s="6"/>
      <c r="G878" s="7"/>
      <c r="I878" s="6"/>
    </row>
    <row r="879" spans="4:9" ht="12.75" x14ac:dyDescent="0.2">
      <c r="D879" s="6"/>
      <c r="G879" s="7"/>
      <c r="I879" s="6"/>
    </row>
    <row r="880" spans="4:9" ht="12.75" x14ac:dyDescent="0.2">
      <c r="D880" s="6"/>
      <c r="G880" s="7"/>
      <c r="I880" s="6"/>
    </row>
    <row r="881" spans="4:9" ht="12.75" x14ac:dyDescent="0.2">
      <c r="D881" s="6"/>
      <c r="G881" s="7"/>
      <c r="I881" s="6"/>
    </row>
    <row r="882" spans="4:9" ht="12.75" x14ac:dyDescent="0.2">
      <c r="D882" s="6"/>
      <c r="G882" s="7"/>
      <c r="I882" s="6"/>
    </row>
    <row r="883" spans="4:9" ht="12.75" x14ac:dyDescent="0.2">
      <c r="D883" s="6"/>
      <c r="G883" s="7"/>
      <c r="I883" s="6"/>
    </row>
    <row r="884" spans="4:9" ht="12.75" x14ac:dyDescent="0.2">
      <c r="D884" s="6"/>
      <c r="G884" s="7"/>
      <c r="I884" s="6"/>
    </row>
    <row r="885" spans="4:9" ht="12.75" x14ac:dyDescent="0.2">
      <c r="D885" s="6"/>
      <c r="G885" s="7"/>
      <c r="I885" s="6"/>
    </row>
    <row r="886" spans="4:9" ht="12.75" x14ac:dyDescent="0.2">
      <c r="D886" s="6"/>
      <c r="G886" s="7"/>
      <c r="I886" s="6"/>
    </row>
    <row r="887" spans="4:9" ht="12.75" x14ac:dyDescent="0.2">
      <c r="D887" s="6"/>
      <c r="G887" s="7"/>
      <c r="I887" s="6"/>
    </row>
    <row r="888" spans="4:9" ht="12.75" x14ac:dyDescent="0.2">
      <c r="D888" s="6"/>
      <c r="G888" s="7"/>
      <c r="I888" s="6"/>
    </row>
    <row r="889" spans="4:9" ht="12.75" x14ac:dyDescent="0.2">
      <c r="D889" s="6"/>
      <c r="G889" s="7"/>
      <c r="I889" s="6"/>
    </row>
    <row r="890" spans="4:9" ht="12.75" x14ac:dyDescent="0.2">
      <c r="D890" s="6"/>
      <c r="G890" s="7"/>
      <c r="I890" s="6"/>
    </row>
    <row r="891" spans="4:9" ht="12.75" x14ac:dyDescent="0.2">
      <c r="D891" s="6"/>
      <c r="G891" s="7"/>
      <c r="I891" s="6"/>
    </row>
    <row r="892" spans="4:9" ht="12.75" x14ac:dyDescent="0.2">
      <c r="D892" s="6"/>
      <c r="G892" s="7"/>
      <c r="I892" s="6"/>
    </row>
    <row r="893" spans="4:9" ht="12.75" x14ac:dyDescent="0.2">
      <c r="D893" s="6"/>
      <c r="G893" s="7"/>
      <c r="I893" s="6"/>
    </row>
    <row r="894" spans="4:9" ht="12.75" x14ac:dyDescent="0.2">
      <c r="D894" s="6"/>
      <c r="G894" s="7"/>
      <c r="I894" s="6"/>
    </row>
    <row r="895" spans="4:9" ht="12.75" x14ac:dyDescent="0.2">
      <c r="D895" s="6"/>
      <c r="G895" s="7"/>
      <c r="I895" s="6"/>
    </row>
    <row r="896" spans="4:9" ht="12.75" x14ac:dyDescent="0.2">
      <c r="D896" s="6"/>
      <c r="G896" s="7"/>
      <c r="I896" s="6"/>
    </row>
    <row r="897" spans="4:9" ht="12.75" x14ac:dyDescent="0.2">
      <c r="D897" s="6"/>
      <c r="G897" s="7"/>
      <c r="I897" s="6"/>
    </row>
    <row r="898" spans="4:9" ht="12.75" x14ac:dyDescent="0.2">
      <c r="D898" s="6"/>
      <c r="G898" s="7"/>
      <c r="I898" s="6"/>
    </row>
    <row r="899" spans="4:9" ht="12.75" x14ac:dyDescent="0.2">
      <c r="D899" s="6"/>
      <c r="G899" s="7"/>
      <c r="I899" s="6"/>
    </row>
    <row r="900" spans="4:9" ht="12.75" x14ac:dyDescent="0.2">
      <c r="D900" s="6"/>
      <c r="G900" s="7"/>
      <c r="I900" s="6"/>
    </row>
    <row r="901" spans="4:9" ht="12.75" x14ac:dyDescent="0.2">
      <c r="D901" s="6"/>
      <c r="G901" s="7"/>
      <c r="I901" s="6"/>
    </row>
    <row r="902" spans="4:9" ht="12.75" x14ac:dyDescent="0.2">
      <c r="D902" s="6"/>
      <c r="G902" s="7"/>
      <c r="I902" s="6"/>
    </row>
    <row r="903" spans="4:9" ht="12.75" x14ac:dyDescent="0.2">
      <c r="D903" s="6"/>
      <c r="G903" s="7"/>
      <c r="I903" s="6"/>
    </row>
    <row r="904" spans="4:9" ht="12.75" x14ac:dyDescent="0.2">
      <c r="D904" s="6"/>
      <c r="G904" s="7"/>
      <c r="I904" s="6"/>
    </row>
    <row r="905" spans="4:9" ht="12.75" x14ac:dyDescent="0.2">
      <c r="D905" s="6"/>
      <c r="G905" s="7"/>
      <c r="I905" s="6"/>
    </row>
    <row r="906" spans="4:9" ht="12.75" x14ac:dyDescent="0.2">
      <c r="D906" s="6"/>
      <c r="G906" s="7"/>
      <c r="I906" s="6"/>
    </row>
    <row r="907" spans="4:9" ht="12.75" x14ac:dyDescent="0.2">
      <c r="D907" s="6"/>
      <c r="G907" s="7"/>
      <c r="I907" s="6"/>
    </row>
    <row r="908" spans="4:9" ht="12.75" x14ac:dyDescent="0.2">
      <c r="D908" s="6"/>
      <c r="G908" s="7"/>
      <c r="I908" s="6"/>
    </row>
    <row r="909" spans="4:9" ht="12.75" x14ac:dyDescent="0.2">
      <c r="D909" s="6"/>
      <c r="G909" s="7"/>
      <c r="I909" s="6"/>
    </row>
    <row r="910" spans="4:9" ht="12.75" x14ac:dyDescent="0.2">
      <c r="D910" s="6"/>
      <c r="G910" s="7"/>
      <c r="I910" s="6"/>
    </row>
    <row r="911" spans="4:9" ht="12.75" x14ac:dyDescent="0.2">
      <c r="D911" s="6"/>
      <c r="G911" s="7"/>
      <c r="I911" s="6"/>
    </row>
    <row r="912" spans="4:9" ht="12.75" x14ac:dyDescent="0.2">
      <c r="D912" s="6"/>
      <c r="G912" s="7"/>
      <c r="I912" s="6"/>
    </row>
    <row r="913" spans="4:9" ht="12.75" x14ac:dyDescent="0.2">
      <c r="D913" s="6"/>
      <c r="G913" s="7"/>
      <c r="I913" s="6"/>
    </row>
    <row r="914" spans="4:9" ht="12.75" x14ac:dyDescent="0.2">
      <c r="D914" s="6"/>
      <c r="G914" s="7"/>
      <c r="I914" s="6"/>
    </row>
    <row r="915" spans="4:9" ht="12.75" x14ac:dyDescent="0.2">
      <c r="D915" s="6"/>
      <c r="G915" s="7"/>
      <c r="I915" s="6"/>
    </row>
    <row r="916" spans="4:9" ht="12.75" x14ac:dyDescent="0.2">
      <c r="D916" s="6"/>
      <c r="G916" s="7"/>
      <c r="I916" s="6"/>
    </row>
    <row r="917" spans="4:9" ht="12.75" x14ac:dyDescent="0.2">
      <c r="D917" s="6"/>
      <c r="G917" s="7"/>
      <c r="I917" s="6"/>
    </row>
    <row r="918" spans="4:9" ht="12.75" x14ac:dyDescent="0.2">
      <c r="D918" s="6"/>
      <c r="G918" s="7"/>
      <c r="I918" s="6"/>
    </row>
    <row r="919" spans="4:9" ht="12.75" x14ac:dyDescent="0.2">
      <c r="D919" s="6"/>
      <c r="G919" s="7"/>
      <c r="I919" s="6"/>
    </row>
    <row r="920" spans="4:9" ht="12.75" x14ac:dyDescent="0.2">
      <c r="D920" s="6"/>
      <c r="G920" s="7"/>
      <c r="I920" s="6"/>
    </row>
    <row r="921" spans="4:9" ht="12.75" x14ac:dyDescent="0.2">
      <c r="D921" s="6"/>
      <c r="G921" s="7"/>
      <c r="I921" s="6"/>
    </row>
    <row r="922" spans="4:9" ht="12.75" x14ac:dyDescent="0.2">
      <c r="D922" s="6"/>
      <c r="G922" s="7"/>
      <c r="I922" s="6"/>
    </row>
    <row r="923" spans="4:9" ht="12.75" x14ac:dyDescent="0.2">
      <c r="D923" s="6"/>
      <c r="G923" s="7"/>
      <c r="I923" s="6"/>
    </row>
    <row r="924" spans="4:9" ht="12.75" x14ac:dyDescent="0.2">
      <c r="D924" s="6"/>
      <c r="G924" s="7"/>
      <c r="I924" s="6"/>
    </row>
    <row r="925" spans="4:9" ht="12.75" x14ac:dyDescent="0.2">
      <c r="D925" s="6"/>
      <c r="G925" s="7"/>
      <c r="I925" s="6"/>
    </row>
    <row r="926" spans="4:9" ht="12.75" x14ac:dyDescent="0.2">
      <c r="D926" s="6"/>
      <c r="G926" s="7"/>
      <c r="I926" s="6"/>
    </row>
    <row r="927" spans="4:9" ht="12.75" x14ac:dyDescent="0.2">
      <c r="D927" s="6"/>
      <c r="G927" s="7"/>
      <c r="I927" s="6"/>
    </row>
    <row r="928" spans="4:9" ht="12.75" x14ac:dyDescent="0.2">
      <c r="D928" s="6"/>
      <c r="G928" s="7"/>
      <c r="I928" s="6"/>
    </row>
    <row r="929" spans="4:9" ht="12.75" x14ac:dyDescent="0.2">
      <c r="D929" s="6"/>
      <c r="G929" s="7"/>
      <c r="I929" s="6"/>
    </row>
    <row r="930" spans="4:9" ht="12.75" x14ac:dyDescent="0.2">
      <c r="D930" s="6"/>
      <c r="G930" s="7"/>
      <c r="I930" s="6"/>
    </row>
    <row r="931" spans="4:9" ht="12.75" x14ac:dyDescent="0.2">
      <c r="D931" s="6"/>
      <c r="G931" s="7"/>
      <c r="I931" s="6"/>
    </row>
    <row r="932" spans="4:9" ht="12.75" x14ac:dyDescent="0.2">
      <c r="D932" s="6"/>
      <c r="G932" s="7"/>
      <c r="I932" s="6"/>
    </row>
    <row r="933" spans="4:9" ht="12.75" x14ac:dyDescent="0.2">
      <c r="D933" s="6"/>
      <c r="G933" s="7"/>
      <c r="I933" s="6"/>
    </row>
    <row r="934" spans="4:9" ht="12.75" x14ac:dyDescent="0.2">
      <c r="D934" s="6"/>
      <c r="G934" s="7"/>
      <c r="I934" s="6"/>
    </row>
    <row r="935" spans="4:9" ht="12.75" x14ac:dyDescent="0.2">
      <c r="D935" s="6"/>
      <c r="G935" s="7"/>
      <c r="I935" s="6"/>
    </row>
    <row r="936" spans="4:9" ht="12.75" x14ac:dyDescent="0.2">
      <c r="D936" s="6"/>
      <c r="G936" s="7"/>
      <c r="I936" s="6"/>
    </row>
    <row r="937" spans="4:9" ht="12.75" x14ac:dyDescent="0.2">
      <c r="D937" s="6"/>
      <c r="G937" s="7"/>
      <c r="I937" s="6"/>
    </row>
    <row r="938" spans="4:9" ht="12.75" x14ac:dyDescent="0.2">
      <c r="D938" s="6"/>
      <c r="G938" s="7"/>
      <c r="I938" s="6"/>
    </row>
    <row r="939" spans="4:9" ht="12.75" x14ac:dyDescent="0.2">
      <c r="D939" s="6"/>
      <c r="G939" s="7"/>
      <c r="I939" s="6"/>
    </row>
    <row r="940" spans="4:9" ht="12.75" x14ac:dyDescent="0.2">
      <c r="D940" s="6"/>
      <c r="G940" s="7"/>
      <c r="I940" s="6"/>
    </row>
    <row r="941" spans="4:9" ht="12.75" x14ac:dyDescent="0.2">
      <c r="D941" s="6"/>
      <c r="G941" s="7"/>
      <c r="I941" s="6"/>
    </row>
    <row r="942" spans="4:9" ht="12.75" x14ac:dyDescent="0.2">
      <c r="D942" s="6"/>
      <c r="G942" s="7"/>
      <c r="I942" s="6"/>
    </row>
    <row r="943" spans="4:9" ht="12.75" x14ac:dyDescent="0.2">
      <c r="D943" s="6"/>
      <c r="G943" s="7"/>
      <c r="I943" s="6"/>
    </row>
    <row r="944" spans="4:9" ht="12.75" x14ac:dyDescent="0.2">
      <c r="D944" s="6"/>
      <c r="G944" s="7"/>
      <c r="I944" s="6"/>
    </row>
    <row r="945" spans="4:9" ht="12.75" x14ac:dyDescent="0.2">
      <c r="D945" s="6"/>
      <c r="G945" s="7"/>
      <c r="I945" s="6"/>
    </row>
    <row r="946" spans="4:9" ht="12.75" x14ac:dyDescent="0.2">
      <c r="D946" s="6"/>
      <c r="G946" s="7"/>
      <c r="I946" s="6"/>
    </row>
    <row r="947" spans="4:9" ht="12.75" x14ac:dyDescent="0.2">
      <c r="D947" s="6"/>
      <c r="G947" s="7"/>
      <c r="I947" s="6"/>
    </row>
    <row r="948" spans="4:9" ht="12.75" x14ac:dyDescent="0.2">
      <c r="D948" s="6"/>
      <c r="G948" s="7"/>
      <c r="I948" s="6"/>
    </row>
    <row r="949" spans="4:9" ht="12.75" x14ac:dyDescent="0.2">
      <c r="D949" s="6"/>
      <c r="G949" s="7"/>
      <c r="I949" s="6"/>
    </row>
    <row r="950" spans="4:9" ht="12.75" x14ac:dyDescent="0.2">
      <c r="D950" s="6"/>
      <c r="G950" s="7"/>
      <c r="I950" s="6"/>
    </row>
    <row r="951" spans="4:9" ht="12.75" x14ac:dyDescent="0.2">
      <c r="D951" s="6"/>
      <c r="G951" s="7"/>
      <c r="I951" s="6"/>
    </row>
    <row r="952" spans="4:9" ht="12.75" x14ac:dyDescent="0.2">
      <c r="D952" s="6"/>
      <c r="G952" s="7"/>
      <c r="I952" s="6"/>
    </row>
    <row r="953" spans="4:9" ht="12.75" x14ac:dyDescent="0.2">
      <c r="D953" s="6"/>
      <c r="G953" s="7"/>
      <c r="I953" s="6"/>
    </row>
    <row r="954" spans="4:9" ht="12.75" x14ac:dyDescent="0.2">
      <c r="D954" s="6"/>
      <c r="G954" s="7"/>
      <c r="I954" s="6"/>
    </row>
    <row r="955" spans="4:9" ht="12.75" x14ac:dyDescent="0.2">
      <c r="D955" s="6"/>
      <c r="G955" s="7"/>
      <c r="I955" s="6"/>
    </row>
    <row r="956" spans="4:9" ht="12.75" x14ac:dyDescent="0.2">
      <c r="D956" s="6"/>
      <c r="G956" s="7"/>
      <c r="I956" s="6"/>
    </row>
    <row r="957" spans="4:9" ht="12.75" x14ac:dyDescent="0.2">
      <c r="D957" s="6"/>
      <c r="G957" s="7"/>
      <c r="I957" s="6"/>
    </row>
    <row r="958" spans="4:9" ht="12.75" x14ac:dyDescent="0.2">
      <c r="D958" s="6"/>
      <c r="G958" s="7"/>
      <c r="I958" s="6"/>
    </row>
    <row r="959" spans="4:9" ht="12.75" x14ac:dyDescent="0.2">
      <c r="D959" s="6"/>
      <c r="G959" s="7"/>
      <c r="I959" s="6"/>
    </row>
    <row r="960" spans="4:9" ht="12.75" x14ac:dyDescent="0.2">
      <c r="D960" s="6"/>
      <c r="G960" s="7"/>
      <c r="I960" s="6"/>
    </row>
    <row r="961" spans="4:9" ht="12.75" x14ac:dyDescent="0.2">
      <c r="D961" s="6"/>
      <c r="G961" s="7"/>
      <c r="I961" s="6"/>
    </row>
    <row r="962" spans="4:9" ht="12.75" x14ac:dyDescent="0.2">
      <c r="D962" s="6"/>
      <c r="G962" s="7"/>
      <c r="I962" s="6"/>
    </row>
    <row r="963" spans="4:9" ht="12.75" x14ac:dyDescent="0.2">
      <c r="D963" s="6"/>
      <c r="G963" s="7"/>
      <c r="I963" s="6"/>
    </row>
    <row r="964" spans="4:9" ht="12.75" x14ac:dyDescent="0.2">
      <c r="D964" s="6"/>
      <c r="G964" s="7"/>
      <c r="I964" s="6"/>
    </row>
    <row r="965" spans="4:9" ht="12.75" x14ac:dyDescent="0.2">
      <c r="D965" s="6"/>
      <c r="G965" s="7"/>
      <c r="I965" s="6"/>
    </row>
    <row r="966" spans="4:9" ht="12.75" x14ac:dyDescent="0.2">
      <c r="D966" s="6"/>
      <c r="G966" s="7"/>
      <c r="I966" s="6"/>
    </row>
    <row r="967" spans="4:9" ht="12.75" x14ac:dyDescent="0.2">
      <c r="D967" s="6"/>
      <c r="G967" s="7"/>
      <c r="I967" s="6"/>
    </row>
    <row r="968" spans="4:9" ht="12.75" x14ac:dyDescent="0.2">
      <c r="D968" s="6"/>
      <c r="G968" s="7"/>
      <c r="I968" s="6"/>
    </row>
    <row r="969" spans="4:9" ht="12.75" x14ac:dyDescent="0.2">
      <c r="D969" s="6"/>
      <c r="G969" s="7"/>
      <c r="I969" s="6"/>
    </row>
    <row r="970" spans="4:9" ht="12.75" x14ac:dyDescent="0.2">
      <c r="D970" s="6"/>
      <c r="G970" s="7"/>
      <c r="I970" s="6"/>
    </row>
    <row r="971" spans="4:9" ht="12.75" x14ac:dyDescent="0.2">
      <c r="D971" s="6"/>
      <c r="G971" s="7"/>
      <c r="I971" s="6"/>
    </row>
    <row r="972" spans="4:9" ht="12.75" x14ac:dyDescent="0.2">
      <c r="D972" s="6"/>
      <c r="G972" s="7"/>
      <c r="I972" s="6"/>
    </row>
    <row r="973" spans="4:9" ht="12.75" x14ac:dyDescent="0.2">
      <c r="D973" s="6"/>
      <c r="G973" s="7"/>
      <c r="I973" s="6"/>
    </row>
    <row r="974" spans="4:9" ht="12.75" x14ac:dyDescent="0.2">
      <c r="D974" s="6"/>
      <c r="G974" s="7"/>
      <c r="I974" s="6"/>
    </row>
    <row r="975" spans="4:9" ht="12.75" x14ac:dyDescent="0.2">
      <c r="D975" s="6"/>
      <c r="G975" s="7"/>
      <c r="I975" s="6"/>
    </row>
    <row r="976" spans="4:9" ht="12.75" x14ac:dyDescent="0.2">
      <c r="D976" s="6"/>
      <c r="G976" s="7"/>
      <c r="I976" s="6"/>
    </row>
    <row r="977" spans="4:9" ht="12.75" x14ac:dyDescent="0.2">
      <c r="D977" s="6"/>
      <c r="G977" s="7"/>
      <c r="I977" s="6"/>
    </row>
    <row r="978" spans="4:9" ht="12.75" x14ac:dyDescent="0.2">
      <c r="D978" s="6"/>
      <c r="G978" s="7"/>
      <c r="I978" s="6"/>
    </row>
    <row r="979" spans="4:9" ht="12.75" x14ac:dyDescent="0.2">
      <c r="D979" s="6"/>
      <c r="G979" s="7"/>
      <c r="I979" s="6"/>
    </row>
    <row r="980" spans="4:9" ht="12.75" x14ac:dyDescent="0.2">
      <c r="D980" s="6"/>
      <c r="G980" s="7"/>
      <c r="I980" s="6"/>
    </row>
    <row r="981" spans="4:9" ht="12.75" x14ac:dyDescent="0.2">
      <c r="D981" s="6"/>
      <c r="G981" s="7"/>
      <c r="I981" s="6"/>
    </row>
    <row r="982" spans="4:9" ht="12.75" x14ac:dyDescent="0.2">
      <c r="D982" s="6"/>
      <c r="G982" s="7"/>
      <c r="I982" s="6"/>
    </row>
    <row r="983" spans="4:9" ht="12.75" x14ac:dyDescent="0.2">
      <c r="D983" s="6"/>
      <c r="G983" s="7"/>
      <c r="I983" s="6"/>
    </row>
    <row r="984" spans="4:9" ht="12.75" x14ac:dyDescent="0.2">
      <c r="D984" s="6"/>
      <c r="G984" s="7"/>
      <c r="I984" s="6"/>
    </row>
    <row r="985" spans="4:9" ht="12.75" x14ac:dyDescent="0.2">
      <c r="D985" s="6"/>
      <c r="G985" s="7"/>
      <c r="I985" s="6"/>
    </row>
    <row r="986" spans="4:9" ht="12.75" x14ac:dyDescent="0.2">
      <c r="D986" s="6"/>
      <c r="G986" s="7"/>
      <c r="I986" s="6"/>
    </row>
    <row r="987" spans="4:9" ht="12.75" x14ac:dyDescent="0.2">
      <c r="D987" s="6"/>
      <c r="G987" s="7"/>
      <c r="I987" s="6"/>
    </row>
    <row r="988" spans="4:9" ht="12.75" x14ac:dyDescent="0.2">
      <c r="D988" s="6"/>
      <c r="G988" s="7"/>
      <c r="I988" s="6"/>
    </row>
    <row r="989" spans="4:9" ht="12.75" x14ac:dyDescent="0.2">
      <c r="D989" s="6"/>
      <c r="G989" s="7"/>
      <c r="I989" s="6"/>
    </row>
    <row r="990" spans="4:9" ht="12.75" x14ac:dyDescent="0.2">
      <c r="D990" s="6"/>
      <c r="G990" s="7"/>
      <c r="I990" s="6"/>
    </row>
    <row r="991" spans="4:9" ht="12.75" x14ac:dyDescent="0.2">
      <c r="D991" s="6"/>
      <c r="G991" s="7"/>
      <c r="I991" s="6"/>
    </row>
    <row r="992" spans="4:9" ht="12.75" x14ac:dyDescent="0.2">
      <c r="D992" s="6"/>
      <c r="G992" s="7"/>
      <c r="I992" s="6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5"/>
  <dimension ref="A1:D1"/>
  <sheetViews>
    <sheetView workbookViewId="0">
      <selection activeCell="C1" sqref="C1"/>
    </sheetView>
  </sheetViews>
  <sheetFormatPr defaultColWidth="11.42578125" defaultRowHeight="12.75" x14ac:dyDescent="0.2"/>
  <cols>
    <col min="1" max="256" width="9.140625" customWidth="1"/>
  </cols>
  <sheetData>
    <row r="1" spans="1:4" x14ac:dyDescent="0.2">
      <c r="A1" t="s">
        <v>23</v>
      </c>
      <c r="B1">
        <v>8</v>
      </c>
      <c r="C1" t="s">
        <v>238</v>
      </c>
      <c r="D1">
        <v>16.079999999999998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Precos</vt:lpstr>
      <vt:lpstr>vendas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2022-05-02T05:33:34Z</dcterms:created>
  <dcterms:modified xsi:type="dcterms:W3CDTF">2022-06-29T08:22:50Z</dcterms:modified>
</cp:coreProperties>
</file>